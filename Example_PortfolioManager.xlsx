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costa\OneDrive - Wilfrid Laurier University\Documents\Study material\BU623 Derivative\Week 3 Hedging\"/>
    </mc:Choice>
  </mc:AlternateContent>
  <xr:revisionPtr revIDLastSave="0" documentId="13_ncr:1_{B1A64974-2262-4E10-A0DC-B466AD45749E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Description" sheetId="1" r:id="rId1"/>
    <sheet name="Sheet2" sheetId="5" r:id="rId2"/>
    <sheet name="S&amp;P500 futures" sheetId="2" r:id="rId3"/>
    <sheet name="Portfolio" sheetId="3" r:id="rId4"/>
  </sheets>
  <definedNames>
    <definedName name="solver_eng" localSheetId="3" hidden="1">1</definedName>
    <definedName name="solver_neg" localSheetId="3" hidden="1">1</definedName>
    <definedName name="solver_num" localSheetId="3" hidden="1">0</definedName>
    <definedName name="solver_opt" localSheetId="3" hidden="1">Portfolio!$F$16</definedName>
    <definedName name="solver_typ" localSheetId="3" hidden="1">1</definedName>
    <definedName name="solver_val" localSheetId="3" hidden="1">0</definedName>
    <definedName name="solver_ver" localSheetId="3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5" l="1"/>
  <c r="G23" i="5"/>
  <c r="G22" i="5"/>
  <c r="G21" i="5"/>
  <c r="C4" i="3" l="1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3" i="3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3" i="2"/>
</calcChain>
</file>

<file path=xl/sharedStrings.xml><?xml version="1.0" encoding="utf-8"?>
<sst xmlns="http://schemas.openxmlformats.org/spreadsheetml/2006/main" count="37" uniqueCount="35">
  <si>
    <t>Date</t>
  </si>
  <si>
    <t>Price</t>
  </si>
  <si>
    <t>Portfolio Value (in Millions)</t>
  </si>
  <si>
    <t>Return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</si>
  <si>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</si>
  <si>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</si>
  <si>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</si>
  <si>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</si>
  <si>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</si>
  <si>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</si>
  <si>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</si>
  <si>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</si>
  <si>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</si>
  <si>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</si>
  <si>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</si>
  <si>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</si>
  <si>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</si>
  <si>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</si>
  <si>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</si>
  <si>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</si>
  <si>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</si>
  <si>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</si>
  <si>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</si>
  <si>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</si>
  <si>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</si>
  <si>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</si>
  <si>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</si>
  <si>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</si>
  <si>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</si>
  <si>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</si>
  <si>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Residuals</t>
  </si>
  <si>
    <t>Standard Residuals</t>
  </si>
  <si>
    <t>s&amp;PReturns</t>
    <phoneticPr fontId="3" type="noConversion"/>
  </si>
  <si>
    <t>X Variable 1</t>
  </si>
  <si>
    <t>Predicted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</si>
</sst>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</cellStyleXfs>
  <cellXfs count="15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4" fontId="0" fillId="3" borderId="0" xfId="0" applyNumberFormat="1" applyFill="1"/>
    <xf numFmtId="0" fontId="0" fillId="3" borderId="0" xfId="0" applyFill="1"/>
    <xf numFmtId="10" fontId="0" fillId="0" borderId="0" xfId="1" applyNumberFormat="1" applyFont="1"/>
    <xf numFmtId="0" fontId="0" fillId="4" borderId="0" xfId="0" applyFill="1"/>
    <xf numFmtId="43" fontId="0" fillId="2" borderId="3" xfId="2" applyFont="1" applyFill="1" applyBorder="1" applyAlignment="1"/>
    <xf numFmtId="43" fontId="0" fillId="0" borderId="0" xfId="2" applyFont="1" applyAlignment="1"/>
    <xf numFmtId="43" fontId="0" fillId="3" borderId="0" xfId="2" applyFont="1" applyFill="1" applyAlignment="1"/>
    <xf numFmtId="0" fontId="0" fillId="0" borderId="0" xfId="0" applyFill="1" applyBorder="1" applyAlignment="1"/>
    <xf numFmtId="0" fontId="0" fillId="0" borderId="4" xfId="0" applyFill="1" applyBorder="1" applyAlignment="1"/>
    <xf numFmtId="0" fontId="0" fillId="0" borderId="5" xfId="0" applyFont="1" applyFill="1" applyBorder="1" applyAlignment="1">
      <alignment horizontal="center"/>
    </xf>
    <xf numFmtId="0" fontId="0" fillId="0" borderId="5" xfId="0" applyFont="1" applyFill="1" applyBorder="1" applyAlignment="1">
      <alignment horizontal="centerContinuous"/>
    </xf>
    <xf numFmtId="43" fontId="0" fillId="0" borderId="0" xfId="0" applyNumberFormat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'S&amp;P500 futures'!$C$3:$C$254</c:f>
              <c:numCache>
                <c:formatCode>0.00%</c:formatCode>
                <c:ptCount val="252"/>
                <c:pt idx="0">
                  <c:v>1.8498406076093335E-3</c:v>
                </c:pt>
                <c:pt idx="1">
                  <c:v>-2.9675026894465883E-3</c:v>
                </c:pt>
                <c:pt idx="2">
                  <c:v>1.7637540571728276E-3</c:v>
                </c:pt>
                <c:pt idx="3">
                  <c:v>-3.6093087192584027E-3</c:v>
                </c:pt>
                <c:pt idx="4">
                  <c:v>3.3662375142390669E-3</c:v>
                </c:pt>
                <c:pt idx="5">
                  <c:v>-2.6901250121218502E-3</c:v>
                </c:pt>
                <c:pt idx="6">
                  <c:v>6.5645935553880538E-3</c:v>
                </c:pt>
                <c:pt idx="7">
                  <c:v>8.0260906262640107E-3</c:v>
                </c:pt>
                <c:pt idx="8">
                  <c:v>-7.3538416963325347E-4</c:v>
                </c:pt>
                <c:pt idx="9">
                  <c:v>-8.6646422615230918E-4</c:v>
                </c:pt>
                <c:pt idx="10">
                  <c:v>-6.0095434915230575E-3</c:v>
                </c:pt>
                <c:pt idx="11">
                  <c:v>-8.8990533877456165E-4</c:v>
                </c:pt>
                <c:pt idx="12">
                  <c:v>2.9836364737412019E-4</c:v>
                </c:pt>
                <c:pt idx="13">
                  <c:v>5.7030947864919837E-4</c:v>
                </c:pt>
                <c:pt idx="14">
                  <c:v>7.2647580016458203E-3</c:v>
                </c:pt>
                <c:pt idx="15">
                  <c:v>-2.1153568633501788E-3</c:v>
                </c:pt>
                <c:pt idx="16">
                  <c:v>2.2682895392798412E-4</c:v>
                </c:pt>
                <c:pt idx="17">
                  <c:v>6.9332249460155341E-4</c:v>
                </c:pt>
                <c:pt idx="18">
                  <c:v>5.7525463132818691E-3</c:v>
                </c:pt>
                <c:pt idx="19">
                  <c:v>3.5660503333255615E-3</c:v>
                </c:pt>
                <c:pt idx="20">
                  <c:v>5.2458449487963847E-3</c:v>
                </c:pt>
                <c:pt idx="21">
                  <c:v>4.0073351229464012E-3</c:v>
                </c:pt>
                <c:pt idx="22">
                  <c:v>4.99230897363938E-3</c:v>
                </c:pt>
                <c:pt idx="23">
                  <c:v>-8.64117909971273E-4</c:v>
                </c:pt>
                <c:pt idx="24">
                  <c:v>1.6785563554665623E-3</c:v>
                </c:pt>
                <c:pt idx="25">
                  <c:v>6.0480662873772179E-3</c:v>
                </c:pt>
                <c:pt idx="26">
                  <c:v>-1.0822003765219607E-3</c:v>
                </c:pt>
                <c:pt idx="27">
                  <c:v>4.1898704577953419E-4</c:v>
                </c:pt>
                <c:pt idx="28">
                  <c:v>1.4933640655939071E-3</c:v>
                </c:pt>
                <c:pt idx="29">
                  <c:v>1.0179830148679832E-3</c:v>
                </c:pt>
                <c:pt idx="30">
                  <c:v>-2.5783762000210868E-3</c:v>
                </c:pt>
                <c:pt idx="31">
                  <c:v>1.3673854505382556E-2</c:v>
                </c:pt>
                <c:pt idx="32">
                  <c:v>-5.8598804773599385E-3</c:v>
                </c:pt>
                <c:pt idx="33">
                  <c:v>5.0387714083693458E-4</c:v>
                </c:pt>
                <c:pt idx="34">
                  <c:v>-3.2772405991149741E-3</c:v>
                </c:pt>
                <c:pt idx="35">
                  <c:v>-2.9133737609452364E-3</c:v>
                </c:pt>
                <c:pt idx="36">
                  <c:v>-2.2842155406884099E-3</c:v>
                </c:pt>
                <c:pt idx="37">
                  <c:v>7.9989547774326369E-4</c:v>
                </c:pt>
                <c:pt idx="38">
                  <c:v>3.2686704206005036E-3</c:v>
                </c:pt>
                <c:pt idx="39">
                  <c:v>3.6663279274638967E-4</c:v>
                </c:pt>
                <c:pt idx="40">
                  <c:v>-3.379027372577587E-3</c:v>
                </c:pt>
                <c:pt idx="41">
                  <c:v>8.3747529689331014E-3</c:v>
                </c:pt>
                <c:pt idx="42">
                  <c:v>-1.6267102889130742E-3</c:v>
                </c:pt>
                <c:pt idx="43">
                  <c:v>-1.3143148736341548E-3</c:v>
                </c:pt>
                <c:pt idx="44">
                  <c:v>-2.0098934090192425E-3</c:v>
                </c:pt>
                <c:pt idx="45">
                  <c:v>-1.2407972866659898E-2</c:v>
                </c:pt>
                <c:pt idx="46">
                  <c:v>1.8898861623204584E-3</c:v>
                </c:pt>
                <c:pt idx="47">
                  <c:v>-1.0602695616058434E-3</c:v>
                </c:pt>
                <c:pt idx="48">
                  <c:v>-8.4399607534476262E-4</c:v>
                </c:pt>
                <c:pt idx="49">
                  <c:v>-1.0195872065426707E-3</c:v>
                </c:pt>
                <c:pt idx="50">
                  <c:v>7.2514741529773972E-3</c:v>
                </c:pt>
                <c:pt idx="51">
                  <c:v>1.0853249749627838E-3</c:v>
                </c:pt>
                <c:pt idx="52">
                  <c:v>2.9351100292689179E-3</c:v>
                </c:pt>
                <c:pt idx="53">
                  <c:v>-2.2550475355151978E-3</c:v>
                </c:pt>
                <c:pt idx="54">
                  <c:v>-1.642125621157694E-3</c:v>
                </c:pt>
                <c:pt idx="55">
                  <c:v>5.5952245627604127E-4</c:v>
                </c:pt>
                <c:pt idx="56">
                  <c:v>-3.0548612250134773E-3</c:v>
                </c:pt>
                <c:pt idx="57">
                  <c:v>1.9295093795218506E-3</c:v>
                </c:pt>
                <c:pt idx="58">
                  <c:v>-8.2713012919306416E-4</c:v>
                </c:pt>
                <c:pt idx="59">
                  <c:v>6.8768646390225837E-4</c:v>
                </c:pt>
                <c:pt idx="60">
                  <c:v>-1.4338793828935876E-3</c:v>
                </c:pt>
                <c:pt idx="61">
                  <c:v>-3.7599507562140187E-3</c:v>
                </c:pt>
                <c:pt idx="62">
                  <c:v>-6.814694452883103E-3</c:v>
                </c:pt>
                <c:pt idx="63">
                  <c:v>8.6133491152897302E-3</c:v>
                </c:pt>
                <c:pt idx="64">
                  <c:v>-2.9033801350211684E-3</c:v>
                </c:pt>
                <c:pt idx="65">
                  <c:v>-1.7163505528008957E-3</c:v>
                </c:pt>
                <c:pt idx="66">
                  <c:v>7.5572634109010153E-3</c:v>
                </c:pt>
                <c:pt idx="67">
                  <c:v>-3.0350731513657109E-3</c:v>
                </c:pt>
                <c:pt idx="68">
                  <c:v>1.0840068991465068E-2</c:v>
                </c:pt>
                <c:pt idx="69">
                  <c:v>6.0906874447222079E-3</c:v>
                </c:pt>
                <c:pt idx="70">
                  <c:v>-4.8570337896502731E-4</c:v>
                </c:pt>
                <c:pt idx="71">
                  <c:v>5.5292007250118717E-4</c:v>
                </c:pt>
                <c:pt idx="72">
                  <c:v>-1.9131473359665974E-3</c:v>
                </c:pt>
                <c:pt idx="73">
                  <c:v>1.7322905313657151E-3</c:v>
                </c:pt>
                <c:pt idx="74">
                  <c:v>1.1890500505600905E-3</c:v>
                </c:pt>
                <c:pt idx="75">
                  <c:v>-1.271360505177841E-3</c:v>
                </c:pt>
                <c:pt idx="76">
                  <c:v>5.8210276161929663E-4</c:v>
                </c:pt>
                <c:pt idx="77">
                  <c:v>4.0886951849016303E-3</c:v>
                </c:pt>
                <c:pt idx="78">
                  <c:v>3.7446077189371702E-5</c:v>
                </c:pt>
                <c:pt idx="79">
                  <c:v>-1.0252486558836506E-3</c:v>
                </c:pt>
                <c:pt idx="80">
                  <c:v>1.1306013918641129E-3</c:v>
                </c:pt>
                <c:pt idx="81">
                  <c:v>-2.1628093718817775E-3</c:v>
                </c:pt>
                <c:pt idx="82">
                  <c:v>-1.4784413421209208E-3</c:v>
                </c:pt>
                <c:pt idx="83">
                  <c:v>4.7765136426024587E-3</c:v>
                </c:pt>
                <c:pt idx="84">
                  <c:v>-6.8689681361807189E-4</c:v>
                </c:pt>
                <c:pt idx="85">
                  <c:v>-1.8178214589219161E-2</c:v>
                </c:pt>
                <c:pt idx="86">
                  <c:v>3.686818535649625E-3</c:v>
                </c:pt>
                <c:pt idx="87">
                  <c:v>6.7674996179841957E-3</c:v>
                </c:pt>
                <c:pt idx="88">
                  <c:v>5.1601315443826519E-3</c:v>
                </c:pt>
                <c:pt idx="89">
                  <c:v>1.8378718487074769E-3</c:v>
                </c:pt>
                <c:pt idx="90">
                  <c:v>2.4891266726227547E-3</c:v>
                </c:pt>
                <c:pt idx="91">
                  <c:v>4.4419480513928295E-3</c:v>
                </c:pt>
                <c:pt idx="92">
                  <c:v>3.1054999601775528E-4</c:v>
                </c:pt>
                <c:pt idx="93">
                  <c:v>-1.2046244828196847E-3</c:v>
                </c:pt>
                <c:pt idx="94">
                  <c:v>-4.5996868531249669E-4</c:v>
                </c:pt>
                <c:pt idx="95">
                  <c:v>7.5711127079423849E-3</c:v>
                </c:pt>
                <c:pt idx="96">
                  <c:v>3.7077309948083397E-3</c:v>
                </c:pt>
                <c:pt idx="97">
                  <c:v>-1.217664895717995E-3</c:v>
                </c:pt>
                <c:pt idx="98">
                  <c:v>-2.7790401574869653E-3</c:v>
                </c:pt>
                <c:pt idx="99">
                  <c:v>1.5682574527445799E-3</c:v>
                </c:pt>
                <c:pt idx="100">
                  <c:v>2.6720452936979968E-4</c:v>
                </c:pt>
                <c:pt idx="101">
                  <c:v>-8.2998901615606764E-4</c:v>
                </c:pt>
                <c:pt idx="102">
                  <c:v>-9.7876319735198578E-4</c:v>
                </c:pt>
                <c:pt idx="103">
                  <c:v>4.5115051443905306E-3</c:v>
                </c:pt>
                <c:pt idx="104">
                  <c:v>-9.9583088590096507E-4</c:v>
                </c:pt>
                <c:pt idx="105">
                  <c:v>-2.2395981716744925E-3</c:v>
                </c:pt>
                <c:pt idx="106">
                  <c:v>2.8363920108121762E-4</c:v>
                </c:pt>
                <c:pt idx="107">
                  <c:v>8.3472288260190847E-3</c:v>
                </c:pt>
                <c:pt idx="108">
                  <c:v>-6.6966375083224797E-3</c:v>
                </c:pt>
                <c:pt idx="109">
                  <c:v>-5.8264444143213401E-4</c:v>
                </c:pt>
                <c:pt idx="110">
                  <c:v>-4.5578189908536577E-4</c:v>
                </c:pt>
                <c:pt idx="111">
                  <c:v>1.5609155884164898E-3</c:v>
                </c:pt>
                <c:pt idx="112">
                  <c:v>3.158015767238528E-4</c:v>
                </c:pt>
                <c:pt idx="113">
                  <c:v>-8.0728246631084181E-3</c:v>
                </c:pt>
                <c:pt idx="114">
                  <c:v>8.8080661287370157E-3</c:v>
                </c:pt>
                <c:pt idx="115">
                  <c:v>-8.6000231522239193E-3</c:v>
                </c:pt>
                <c:pt idx="116">
                  <c:v>1.5332318366443696E-3</c:v>
                </c:pt>
                <c:pt idx="117">
                  <c:v>2.3108339915050612E-3</c:v>
                </c:pt>
                <c:pt idx="118">
                  <c:v>1.4532789018848109E-3</c:v>
                </c:pt>
                <c:pt idx="119">
                  <c:v>-9.3688237951342433E-3</c:v>
                </c:pt>
                <c:pt idx="120">
                  <c:v>6.4031256354393643E-3</c:v>
                </c:pt>
                <c:pt idx="121">
                  <c:v>9.2776621244118065E-4</c:v>
                </c:pt>
                <c:pt idx="122">
                  <c:v>-7.8268088192956942E-4</c:v>
                </c:pt>
                <c:pt idx="123">
                  <c:v>7.3056077591855647E-3</c:v>
                </c:pt>
                <c:pt idx="124">
                  <c:v>1.8745842627647428E-3</c:v>
                </c:pt>
                <c:pt idx="125">
                  <c:v>4.6735033214997425E-3</c:v>
                </c:pt>
                <c:pt idx="126">
                  <c:v>-5.2912855823738372E-5</c:v>
                </c:pt>
                <c:pt idx="127">
                  <c:v>5.9785700040284034E-4</c:v>
                </c:pt>
                <c:pt idx="128">
                  <c:v>5.3726394776610524E-3</c:v>
                </c:pt>
                <c:pt idx="129">
                  <c:v>-1.5365930076621139E-4</c:v>
                </c:pt>
                <c:pt idx="130">
                  <c:v>-3.6787160364098131E-4</c:v>
                </c:pt>
                <c:pt idx="131">
                  <c:v>-1.0637348469647581E-3</c:v>
                </c:pt>
                <c:pt idx="132">
                  <c:v>2.9231717986643664E-3</c:v>
                </c:pt>
                <c:pt idx="133">
                  <c:v>2.826638218711014E-4</c:v>
                </c:pt>
                <c:pt idx="134">
                  <c:v>-9.7268816832883544E-4</c:v>
                </c:pt>
                <c:pt idx="135">
                  <c:v>-1.3411154893339964E-3</c:v>
                </c:pt>
                <c:pt idx="136">
                  <c:v>-7.2814567721437976E-4</c:v>
                </c:pt>
                <c:pt idx="137">
                  <c:v>2.4491150386565632E-3</c:v>
                </c:pt>
                <c:pt idx="138">
                  <c:v>4.9264843488220831E-4</c:v>
                </c:pt>
                <c:pt idx="139">
                  <c:v>-2.1836540850556948E-3</c:v>
                </c:pt>
                <c:pt idx="140">
                  <c:v>1.889103523332224E-3</c:v>
                </c:pt>
                <c:pt idx="141">
                  <c:v>1.6471997963197051E-3</c:v>
                </c:pt>
                <c:pt idx="142">
                  <c:v>-2.4144326930320369E-3</c:v>
                </c:pt>
                <c:pt idx="143">
                  <c:v>-3.6360853213904953E-4</c:v>
                </c:pt>
                <c:pt idx="144">
                  <c:v>-1.4474441884265719E-2</c:v>
                </c:pt>
                <c:pt idx="145">
                  <c:v>1.2755698031536222E-3</c:v>
                </c:pt>
                <c:pt idx="146">
                  <c:v>1.0043754738020664E-2</c:v>
                </c:pt>
                <c:pt idx="147">
                  <c:v>-4.9880809626936054E-4</c:v>
                </c:pt>
                <c:pt idx="148">
                  <c:v>1.4201029160999055E-3</c:v>
                </c:pt>
                <c:pt idx="149">
                  <c:v>-1.5436951897705593E-2</c:v>
                </c:pt>
                <c:pt idx="150">
                  <c:v>-1.8353673366143957E-3</c:v>
                </c:pt>
                <c:pt idx="151">
                  <c:v>1.1626509216590452E-3</c:v>
                </c:pt>
                <c:pt idx="152">
                  <c:v>9.9407799622498929E-3</c:v>
                </c:pt>
                <c:pt idx="153">
                  <c:v>-3.4535928356924368E-3</c:v>
                </c:pt>
                <c:pt idx="154">
                  <c:v>-2.0744619233302145E-3</c:v>
                </c:pt>
                <c:pt idx="155">
                  <c:v>1.6728693048758973E-3</c:v>
                </c:pt>
                <c:pt idx="156">
                  <c:v>4.8707188806351378E-4</c:v>
                </c:pt>
                <c:pt idx="157">
                  <c:v>8.4282190309794831E-4</c:v>
                </c:pt>
                <c:pt idx="158">
                  <c:v>4.6151489080888206E-3</c:v>
                </c:pt>
                <c:pt idx="159">
                  <c:v>5.7209760360980863E-3</c:v>
                </c:pt>
                <c:pt idx="160">
                  <c:v>1.9825408914242878E-3</c:v>
                </c:pt>
                <c:pt idx="161">
                  <c:v>-7.5508068199755798E-3</c:v>
                </c:pt>
                <c:pt idx="162">
                  <c:v>3.1287266079642298E-3</c:v>
                </c:pt>
                <c:pt idx="163">
                  <c:v>-1.784359584679573E-4</c:v>
                </c:pt>
                <c:pt idx="164">
                  <c:v>-1.4888506973723228E-3</c:v>
                </c:pt>
                <c:pt idx="165">
                  <c:v>1.0839298999797799E-2</c:v>
                </c:pt>
                <c:pt idx="166">
                  <c:v>3.3639479926762333E-3</c:v>
                </c:pt>
                <c:pt idx="167">
                  <c:v>7.571208321886354E-4</c:v>
                </c:pt>
                <c:pt idx="168">
                  <c:v>-1.1007176163722904E-3</c:v>
                </c:pt>
                <c:pt idx="169">
                  <c:v>1.8471813753215278E-3</c:v>
                </c:pt>
                <c:pt idx="170">
                  <c:v>1.4559208669275567E-3</c:v>
                </c:pt>
                <c:pt idx="171">
                  <c:v>1.1101953656169517E-3</c:v>
                </c:pt>
                <c:pt idx="172">
                  <c:v>6.3434785955997588E-4</c:v>
                </c:pt>
                <c:pt idx="173">
                  <c:v>-3.0459174682085127E-3</c:v>
                </c:pt>
                <c:pt idx="174">
                  <c:v>6.4779370411753774E-4</c:v>
                </c:pt>
                <c:pt idx="175">
                  <c:v>-2.2220504449806063E-3</c:v>
                </c:pt>
                <c:pt idx="176">
                  <c:v>7.2166817408268093E-5</c:v>
                </c:pt>
                <c:pt idx="177">
                  <c:v>4.0851438780648321E-3</c:v>
                </c:pt>
                <c:pt idx="178">
                  <c:v>1.2046157831625804E-3</c:v>
                </c:pt>
                <c:pt idx="179">
                  <c:v>3.7051097509217252E-3</c:v>
                </c:pt>
                <c:pt idx="180">
                  <c:v>3.8740035506960443E-3</c:v>
                </c:pt>
                <c:pt idx="181">
                  <c:v>2.1588381521699079E-3</c:v>
                </c:pt>
                <c:pt idx="182">
                  <c:v>1.2467201282878846E-3</c:v>
                </c:pt>
                <c:pt idx="183">
                  <c:v>5.6467873211865005E-3</c:v>
                </c:pt>
                <c:pt idx="184">
                  <c:v>-1.0736343152785389E-3</c:v>
                </c:pt>
                <c:pt idx="185">
                  <c:v>-1.8044340510071403E-3</c:v>
                </c:pt>
                <c:pt idx="186">
                  <c:v>2.3224126121231771E-3</c:v>
                </c:pt>
                <c:pt idx="187">
                  <c:v>1.8035070386158997E-3</c:v>
                </c:pt>
                <c:pt idx="188">
                  <c:v>-1.6867527186751748E-3</c:v>
                </c:pt>
                <c:pt idx="189">
                  <c:v>8.7810722352684139E-4</c:v>
                </c:pt>
                <c:pt idx="190">
                  <c:v>1.7507534306602202E-3</c:v>
                </c:pt>
                <c:pt idx="191">
                  <c:v>6.7257865530952665E-4</c:v>
                </c:pt>
                <c:pt idx="192">
                  <c:v>7.423351621382425E-4</c:v>
                </c:pt>
                <c:pt idx="193">
                  <c:v>3.2799793723399577E-4</c:v>
                </c:pt>
                <c:pt idx="194">
                  <c:v>5.1168426285272059E-3</c:v>
                </c:pt>
                <c:pt idx="195">
                  <c:v>-3.9724842459165806E-3</c:v>
                </c:pt>
                <c:pt idx="196">
                  <c:v>1.6179085343192405E-3</c:v>
                </c:pt>
                <c:pt idx="197">
                  <c:v>-4.6630499607169737E-3</c:v>
                </c:pt>
                <c:pt idx="198">
                  <c:v>1.2709462192490584E-3</c:v>
                </c:pt>
                <c:pt idx="199">
                  <c:v>8.0730224930308098E-3</c:v>
                </c:pt>
                <c:pt idx="200">
                  <c:v>-3.1924704804255763E-3</c:v>
                </c:pt>
                <c:pt idx="201">
                  <c:v>9.4445879686268501E-4</c:v>
                </c:pt>
                <c:pt idx="202">
                  <c:v>1.5921099166992482E-3</c:v>
                </c:pt>
                <c:pt idx="203">
                  <c:v>1.8996610774515562E-4</c:v>
                </c:pt>
                <c:pt idx="204">
                  <c:v>3.0970752937134545E-3</c:v>
                </c:pt>
                <c:pt idx="205">
                  <c:v>1.2712512706079312E-3</c:v>
                </c:pt>
                <c:pt idx="206">
                  <c:v>-1.8910283240326255E-4</c:v>
                </c:pt>
                <c:pt idx="207">
                  <c:v>1.4436549093934741E-3</c:v>
                </c:pt>
                <c:pt idx="208">
                  <c:v>-3.7618877882734979E-3</c:v>
                </c:pt>
                <c:pt idx="209">
                  <c:v>-8.9764371357324384E-4</c:v>
                </c:pt>
                <c:pt idx="210">
                  <c:v>9.8363433830379746E-4</c:v>
                </c:pt>
                <c:pt idx="211">
                  <c:v>-2.3096094136404416E-3</c:v>
                </c:pt>
                <c:pt idx="212">
                  <c:v>-5.5256757236680949E-3</c:v>
                </c:pt>
                <c:pt idx="213">
                  <c:v>8.1960583014486638E-3</c:v>
                </c:pt>
                <c:pt idx="214">
                  <c:v>-2.6259631197607532E-3</c:v>
                </c:pt>
                <c:pt idx="215">
                  <c:v>1.2756829109809469E-3</c:v>
                </c:pt>
                <c:pt idx="216">
                  <c:v>6.5411390164366989E-3</c:v>
                </c:pt>
                <c:pt idx="217">
                  <c:v>-7.5026105056212708E-4</c:v>
                </c:pt>
                <c:pt idx="218">
                  <c:v>2.0560952452849568E-3</c:v>
                </c:pt>
                <c:pt idx="219">
                  <c:v>-3.8425774086123829E-4</c:v>
                </c:pt>
                <c:pt idx="220">
                  <c:v>9.8485126462408701E-3</c:v>
                </c:pt>
                <c:pt idx="221">
                  <c:v>-3.6922581521414976E-4</c:v>
                </c:pt>
                <c:pt idx="222">
                  <c:v>8.1909505241731292E-3</c:v>
                </c:pt>
                <c:pt idx="223">
                  <c:v>-2.0245306438659381E-3</c:v>
                </c:pt>
                <c:pt idx="224">
                  <c:v>-1.0521569099138026E-3</c:v>
                </c:pt>
                <c:pt idx="225">
                  <c:v>-3.7393815432908528E-3</c:v>
                </c:pt>
                <c:pt idx="226">
                  <c:v>-1.1410534507196889E-4</c:v>
                </c:pt>
                <c:pt idx="227">
                  <c:v>2.9323576282972025E-3</c:v>
                </c:pt>
                <c:pt idx="228">
                  <c:v>5.5063064983906064E-3</c:v>
                </c:pt>
                <c:pt idx="229">
                  <c:v>3.2019573826136279E-3</c:v>
                </c:pt>
                <c:pt idx="230">
                  <c:v>1.5489219942515409E-3</c:v>
                </c:pt>
                <c:pt idx="231">
                  <c:v>-4.7295680335785833E-4</c:v>
                </c:pt>
                <c:pt idx="232">
                  <c:v>-4.0708592677228218E-3</c:v>
                </c:pt>
                <c:pt idx="233">
                  <c:v>8.9743435772325561E-3</c:v>
                </c:pt>
                <c:pt idx="234">
                  <c:v>5.3628070317378856E-3</c:v>
                </c:pt>
                <c:pt idx="235">
                  <c:v>-3.2302693089867477E-3</c:v>
                </c:pt>
                <c:pt idx="236">
                  <c:v>-8.2789329136961898E-4</c:v>
                </c:pt>
                <c:pt idx="237">
                  <c:v>1.9856556872258997E-3</c:v>
                </c:pt>
                <c:pt idx="238">
                  <c:v>-4.5816647315761875E-4</c:v>
                </c:pt>
                <c:pt idx="239">
                  <c:v>-1.0584152238849284E-3</c:v>
                </c:pt>
                <c:pt idx="240">
                  <c:v>7.9094086924078955E-4</c:v>
                </c:pt>
                <c:pt idx="241">
                  <c:v>1.8339987718805444E-3</c:v>
                </c:pt>
                <c:pt idx="242">
                  <c:v>-5.1831532918047846E-3</c:v>
                </c:pt>
                <c:pt idx="243">
                  <c:v>8.3033617885705947E-3</c:v>
                </c:pt>
                <c:pt idx="244">
                  <c:v>6.3988187678173511E-3</c:v>
                </c:pt>
                <c:pt idx="245">
                  <c:v>4.0286358437744132E-3</c:v>
                </c:pt>
                <c:pt idx="246">
                  <c:v>7.0337674038222428E-3</c:v>
                </c:pt>
                <c:pt idx="247">
                  <c:v>1.6623440799480996E-3</c:v>
                </c:pt>
                <c:pt idx="248">
                  <c:v>1.3029315505691242E-3</c:v>
                </c:pt>
                <c:pt idx="249">
                  <c:v>-1.1122269759360366E-3</c:v>
                </c:pt>
                <c:pt idx="250">
                  <c:v>7.0336467983657764E-3</c:v>
                </c:pt>
                <c:pt idx="251">
                  <c:v>6.7496027554139974E-3</c:v>
                </c:pt>
              </c:numCache>
            </c:numRef>
          </c:xVal>
          <c:yVal>
            <c:numRef>
              <c:f>Portfolio!$C$3:$C$254</c:f>
              <c:numCache>
                <c:formatCode>_(* #,##0.00_);_(* \(#,##0.00\);_(* "-"??_);_(@_)</c:formatCode>
                <c:ptCount val="252"/>
                <c:pt idx="0">
                  <c:v>3.8581333919054865E-3</c:v>
                </c:pt>
                <c:pt idx="1">
                  <c:v>-1.5580555175462051E-3</c:v>
                </c:pt>
                <c:pt idx="2">
                  <c:v>-1.248470622706878E-3</c:v>
                </c:pt>
                <c:pt idx="3">
                  <c:v>1.7708125000000703E-3</c:v>
                </c:pt>
                <c:pt idx="4">
                  <c:v>-1.1438078640701817E-3</c:v>
                </c:pt>
                <c:pt idx="5">
                  <c:v>2.4463939714010903E-2</c:v>
                </c:pt>
                <c:pt idx="6">
                  <c:v>3.0687896324036387E-2</c:v>
                </c:pt>
                <c:pt idx="7">
                  <c:v>2.5929192546583713E-2</c:v>
                </c:pt>
                <c:pt idx="8">
                  <c:v>-1.2588872046682081E-2</c:v>
                </c:pt>
                <c:pt idx="9">
                  <c:v>-6.6180048661801149E-3</c:v>
                </c:pt>
                <c:pt idx="10">
                  <c:v>-1.028708729303409E-2</c:v>
                </c:pt>
                <c:pt idx="11">
                  <c:v>2.8707286538524595E-3</c:v>
                </c:pt>
                <c:pt idx="12">
                  <c:v>2.5664002085954052E-3</c:v>
                </c:pt>
                <c:pt idx="13">
                  <c:v>-7.1872009451609126E-3</c:v>
                </c:pt>
                <c:pt idx="14">
                  <c:v>-4.4624853019628857E-3</c:v>
                </c:pt>
                <c:pt idx="15">
                  <c:v>5.0802172037076876E-3</c:v>
                </c:pt>
                <c:pt idx="16">
                  <c:v>-6.9375618050044631E-4</c:v>
                </c:pt>
                <c:pt idx="17">
                  <c:v>2.7174431673620318E-2</c:v>
                </c:pt>
                <c:pt idx="18">
                  <c:v>-2.2207589070193483E-3</c:v>
                </c:pt>
                <c:pt idx="19">
                  <c:v>-9.4832111276644763E-3</c:v>
                </c:pt>
                <c:pt idx="20">
                  <c:v>7.2293571001430775E-3</c:v>
                </c:pt>
                <c:pt idx="21">
                  <c:v>-1.4645994464519778E-2</c:v>
                </c:pt>
                <c:pt idx="22">
                  <c:v>-3.9367065237403402E-4</c:v>
                </c:pt>
                <c:pt idx="23">
                  <c:v>-7.1886063853686998E-3</c:v>
                </c:pt>
                <c:pt idx="24">
                  <c:v>-2.9756298353500257E-3</c:v>
                </c:pt>
                <c:pt idx="25">
                  <c:v>1.5917290566572474E-2</c:v>
                </c:pt>
                <c:pt idx="26">
                  <c:v>2.0368134928472333E-2</c:v>
                </c:pt>
                <c:pt idx="27">
                  <c:v>-1.6698637716851372E-2</c:v>
                </c:pt>
                <c:pt idx="28">
                  <c:v>4.7823346162632696E-3</c:v>
                </c:pt>
                <c:pt idx="29">
                  <c:v>6.3137544336208497E-3</c:v>
                </c:pt>
                <c:pt idx="30">
                  <c:v>-6.7567182771567109E-3</c:v>
                </c:pt>
                <c:pt idx="31">
                  <c:v>1.107870726766364E-2</c:v>
                </c:pt>
                <c:pt idx="32">
                  <c:v>-8.1699249503082647E-3</c:v>
                </c:pt>
                <c:pt idx="33">
                  <c:v>1.1628645961261463E-3</c:v>
                </c:pt>
                <c:pt idx="34">
                  <c:v>-9.6796052595025713E-3</c:v>
                </c:pt>
                <c:pt idx="35">
                  <c:v>3.1277392850697734E-3</c:v>
                </c:pt>
                <c:pt idx="36">
                  <c:v>5.748845534897495E-3</c:v>
                </c:pt>
                <c:pt idx="37">
                  <c:v>1.9373183303886615E-4</c:v>
                </c:pt>
                <c:pt idx="38">
                  <c:v>1.4529349370967942E-3</c:v>
                </c:pt>
                <c:pt idx="39">
                  <c:v>1.7313096211559145E-2</c:v>
                </c:pt>
                <c:pt idx="40">
                  <c:v>-8.8419851682830074E-3</c:v>
                </c:pt>
                <c:pt idx="41">
                  <c:v>-5.3716834532373438E-3</c:v>
                </c:pt>
                <c:pt idx="42">
                  <c:v>1.8709566617618505E-2</c:v>
                </c:pt>
                <c:pt idx="43">
                  <c:v>-1.8930228692523886E-4</c:v>
                </c:pt>
                <c:pt idx="44">
                  <c:v>1.5528822881083044E-2</c:v>
                </c:pt>
                <c:pt idx="45">
                  <c:v>-2.0139897435897443E-2</c:v>
                </c:pt>
                <c:pt idx="46">
                  <c:v>9.5156536117862265E-3</c:v>
                </c:pt>
                <c:pt idx="47">
                  <c:v>2.0360110108779726E-2</c:v>
                </c:pt>
                <c:pt idx="48">
                  <c:v>-1.9399445727482335E-3</c:v>
                </c:pt>
                <c:pt idx="49">
                  <c:v>3.7024249934975025E-4</c:v>
                </c:pt>
                <c:pt idx="50">
                  <c:v>-2.5906642747840574E-3</c:v>
                </c:pt>
                <c:pt idx="51">
                  <c:v>1.5862699001965668E-2</c:v>
                </c:pt>
                <c:pt idx="52">
                  <c:v>-6.0268832795747802E-3</c:v>
                </c:pt>
                <c:pt idx="53">
                  <c:v>-9.3706570394241628E-3</c:v>
                </c:pt>
                <c:pt idx="54">
                  <c:v>2.4111471313893332E-3</c:v>
                </c:pt>
                <c:pt idx="55">
                  <c:v>-5.2733742352992193E-3</c:v>
                </c:pt>
                <c:pt idx="56">
                  <c:v>-7.4400113683035824E-4</c:v>
                </c:pt>
                <c:pt idx="57">
                  <c:v>5.5845028744507729E-3</c:v>
                </c:pt>
                <c:pt idx="58">
                  <c:v>8.7930117660772345E-3</c:v>
                </c:pt>
                <c:pt idx="59">
                  <c:v>2.4864657764283989E-2</c:v>
                </c:pt>
                <c:pt idx="60">
                  <c:v>-1.128017040143689E-2</c:v>
                </c:pt>
                <c:pt idx="61">
                  <c:v>1.7203458580161573E-3</c:v>
                </c:pt>
                <c:pt idx="62">
                  <c:v>-3.7964206037175139E-3</c:v>
                </c:pt>
                <c:pt idx="63">
                  <c:v>1.406408687110145E-2</c:v>
                </c:pt>
                <c:pt idx="64">
                  <c:v>-4.7422959065444867E-3</c:v>
                </c:pt>
                <c:pt idx="65">
                  <c:v>-4.2254876141646453E-3</c:v>
                </c:pt>
                <c:pt idx="66">
                  <c:v>1.9862738897386406E-2</c:v>
                </c:pt>
                <c:pt idx="67">
                  <c:v>1.3279213998576669E-3</c:v>
                </c:pt>
                <c:pt idx="68">
                  <c:v>1.5471664614342989E-2</c:v>
                </c:pt>
                <c:pt idx="69">
                  <c:v>5.3978930402412192E-3</c:v>
                </c:pt>
                <c:pt idx="70">
                  <c:v>-4.4163663556538012E-3</c:v>
                </c:pt>
                <c:pt idx="71">
                  <c:v>4.0010350178218274E-3</c:v>
                </c:pt>
                <c:pt idx="72">
                  <c:v>6.0642813826555634E-4</c:v>
                </c:pt>
                <c:pt idx="73">
                  <c:v>1.0216450216450276E-2</c:v>
                </c:pt>
                <c:pt idx="74">
                  <c:v>1.2084298937264247E-2</c:v>
                </c:pt>
                <c:pt idx="75">
                  <c:v>-1.2871505220476137E-2</c:v>
                </c:pt>
                <c:pt idx="76">
                  <c:v>-6.0907523376511653E-3</c:v>
                </c:pt>
                <c:pt idx="77">
                  <c:v>1.5535991580045544E-3</c:v>
                </c:pt>
                <c:pt idx="78">
                  <c:v>7.0665287222808036E-3</c:v>
                </c:pt>
                <c:pt idx="79">
                  <c:v>2.6869749898427633E-2</c:v>
                </c:pt>
                <c:pt idx="80">
                  <c:v>-1.6664166666669663E-4</c:v>
                </c:pt>
                <c:pt idx="81">
                  <c:v>1.5002583388833914E-3</c:v>
                </c:pt>
                <c:pt idx="82">
                  <c:v>1.4979360353549805E-3</c:v>
                </c:pt>
                <c:pt idx="83">
                  <c:v>8.8084264187610686E-3</c:v>
                </c:pt>
                <c:pt idx="84">
                  <c:v>2.1581507057965313E-2</c:v>
                </c:pt>
                <c:pt idx="85">
                  <c:v>-2.6608579905061658E-2</c:v>
                </c:pt>
                <c:pt idx="86">
                  <c:v>4.5559641769718617E-3</c:v>
                </c:pt>
                <c:pt idx="87">
                  <c:v>1.6079855267086322E-2</c:v>
                </c:pt>
                <c:pt idx="88">
                  <c:v>1.2416807235701969E-2</c:v>
                </c:pt>
                <c:pt idx="89">
                  <c:v>-1.4589178356713372E-2</c:v>
                </c:pt>
                <c:pt idx="90">
                  <c:v>-9.7618156674541363E-4</c:v>
                </c:pt>
                <c:pt idx="91">
                  <c:v>6.6769726679745565E-3</c:v>
                </c:pt>
                <c:pt idx="92">
                  <c:v>2.9119227431510567E-3</c:v>
                </c:pt>
                <c:pt idx="93">
                  <c:v>-6.451649430625786E-4</c:v>
                </c:pt>
                <c:pt idx="94">
                  <c:v>-1.1702081778643188E-2</c:v>
                </c:pt>
                <c:pt idx="95">
                  <c:v>1.2330573349098265E-2</c:v>
                </c:pt>
                <c:pt idx="96">
                  <c:v>1.2906025547261767E-3</c:v>
                </c:pt>
                <c:pt idx="97">
                  <c:v>9.9895756865280034E-3</c:v>
                </c:pt>
                <c:pt idx="98">
                  <c:v>-5.9822922713019316E-3</c:v>
                </c:pt>
                <c:pt idx="99">
                  <c:v>8.1848497467939089E-3</c:v>
                </c:pt>
                <c:pt idx="100">
                  <c:v>0.13291942958388603</c:v>
                </c:pt>
                <c:pt idx="101">
                  <c:v>-2.0373711405752889E-2</c:v>
                </c:pt>
                <c:pt idx="102">
                  <c:v>-2.5817555567733373E-3</c:v>
                </c:pt>
                <c:pt idx="103">
                  <c:v>-1.783143488882032E-2</c:v>
                </c:pt>
                <c:pt idx="104">
                  <c:v>5.1238650750853518E-4</c:v>
                </c:pt>
                <c:pt idx="105">
                  <c:v>-1.163383349138547E-2</c:v>
                </c:pt>
                <c:pt idx="106">
                  <c:v>-1.5546860889150615E-3</c:v>
                </c:pt>
                <c:pt idx="107">
                  <c:v>3.4106963524392568E-2</c:v>
                </c:pt>
                <c:pt idx="108">
                  <c:v>-7.8152720454915964E-3</c:v>
                </c:pt>
                <c:pt idx="109">
                  <c:v>3.5481918070461103E-2</c:v>
                </c:pt>
                <c:pt idx="110">
                  <c:v>-7.1183547339555633E-3</c:v>
                </c:pt>
                <c:pt idx="111">
                  <c:v>5.2013142559552009E-3</c:v>
                </c:pt>
                <c:pt idx="112">
                  <c:v>-1.9578981175406912E-3</c:v>
                </c:pt>
                <c:pt idx="113">
                  <c:v>-8.4074618764789725E-3</c:v>
                </c:pt>
                <c:pt idx="114">
                  <c:v>1.7098834290248194E-2</c:v>
                </c:pt>
                <c:pt idx="115">
                  <c:v>-2.1813123066615897E-2</c:v>
                </c:pt>
                <c:pt idx="116">
                  <c:v>6.3913075263295641E-4</c:v>
                </c:pt>
                <c:pt idx="117">
                  <c:v>6.3882898391041856E-4</c:v>
                </c:pt>
                <c:pt idx="118">
                  <c:v>2.7519610344009793E-2</c:v>
                </c:pt>
                <c:pt idx="119">
                  <c:v>-1.8430303666400989E-2</c:v>
                </c:pt>
                <c:pt idx="120">
                  <c:v>1.6174121297625615E-3</c:v>
                </c:pt>
                <c:pt idx="121">
                  <c:v>9.6890056015098685E-3</c:v>
                </c:pt>
                <c:pt idx="122">
                  <c:v>1.3907238911163881E-2</c:v>
                </c:pt>
                <c:pt idx="123">
                  <c:v>2.187780017663804E-2</c:v>
                </c:pt>
                <c:pt idx="124">
                  <c:v>3.4899597315436251E-3</c:v>
                </c:pt>
                <c:pt idx="125">
                  <c:v>1.5449424412803035E-2</c:v>
                </c:pt>
                <c:pt idx="126">
                  <c:v>-3.9518276499792681E-3</c:v>
                </c:pt>
                <c:pt idx="127">
                  <c:v>1.6663387334877666E-2</c:v>
                </c:pt>
                <c:pt idx="128">
                  <c:v>-3.9024780487805374E-3</c:v>
                </c:pt>
                <c:pt idx="129">
                  <c:v>-6.7906826036178711E-3</c:v>
                </c:pt>
                <c:pt idx="130">
                  <c:v>-1.4463348797165692E-3</c:v>
                </c:pt>
                <c:pt idx="131">
                  <c:v>2.4359470829940204E-3</c:v>
                </c:pt>
                <c:pt idx="132">
                  <c:v>1.1822343748270131E-3</c:v>
                </c:pt>
                <c:pt idx="133">
                  <c:v>2.1975800026557447E-2</c:v>
                </c:pt>
                <c:pt idx="134">
                  <c:v>-1.0526985516971024E-2</c:v>
                </c:pt>
                <c:pt idx="135">
                  <c:v>2.2121337221719353E-2</c:v>
                </c:pt>
                <c:pt idx="136">
                  <c:v>-1.6565124607325846E-2</c:v>
                </c:pt>
                <c:pt idx="137">
                  <c:v>-1.4198193240364913E-3</c:v>
                </c:pt>
                <c:pt idx="138">
                  <c:v>-1.822524444452266E-2</c:v>
                </c:pt>
                <c:pt idx="139">
                  <c:v>9.2818311031050826E-3</c:v>
                </c:pt>
                <c:pt idx="140">
                  <c:v>6.5190448367273611E-5</c:v>
                </c:pt>
                <c:pt idx="141">
                  <c:v>3.5935524216584865E-2</c:v>
                </c:pt>
                <c:pt idx="142">
                  <c:v>-8.4361372056444353E-3</c:v>
                </c:pt>
                <c:pt idx="143">
                  <c:v>-6.3460317460339868E-5</c:v>
                </c:pt>
                <c:pt idx="144">
                  <c:v>-3.6319771530898083E-2</c:v>
                </c:pt>
                <c:pt idx="145">
                  <c:v>-4.6127033112553601E-4</c:v>
                </c:pt>
                <c:pt idx="146">
                  <c:v>1.9182623978562206E-2</c:v>
                </c:pt>
                <c:pt idx="147">
                  <c:v>2.0309158396551518E-2</c:v>
                </c:pt>
                <c:pt idx="148">
                  <c:v>1.1093502377179081E-2</c:v>
                </c:pt>
                <c:pt idx="149">
                  <c:v>2.7711586206896503E-2</c:v>
                </c:pt>
                <c:pt idx="150">
                  <c:v>2.1839934380672745E-2</c:v>
                </c:pt>
                <c:pt idx="151">
                  <c:v>1.0447761194029851E-2</c:v>
                </c:pt>
                <c:pt idx="152">
                  <c:v>3.0782906942392853E-2</c:v>
                </c:pt>
                <c:pt idx="153">
                  <c:v>7.680820510342027E-3</c:v>
                </c:pt>
                <c:pt idx="154">
                  <c:v>-4.5506426982256862E-3</c:v>
                </c:pt>
                <c:pt idx="155">
                  <c:v>-1.8628542857142879E-2</c:v>
                </c:pt>
                <c:pt idx="156">
                  <c:v>-2.0030289390057913E-2</c:v>
                </c:pt>
                <c:pt idx="157">
                  <c:v>-5.288169840377349E-3</c:v>
                </c:pt>
                <c:pt idx="158">
                  <c:v>2.2937673426015891E-2</c:v>
                </c:pt>
                <c:pt idx="159">
                  <c:v>2.86134306569341E-3</c:v>
                </c:pt>
                <c:pt idx="160">
                  <c:v>-4.0759984838709346E-3</c:v>
                </c:pt>
                <c:pt idx="161">
                  <c:v>-6.5481469003569074E-3</c:v>
                </c:pt>
                <c:pt idx="162">
                  <c:v>-1.0475512128949082E-2</c:v>
                </c:pt>
                <c:pt idx="163">
                  <c:v>1.391695619077535E-2</c:v>
                </c:pt>
                <c:pt idx="164">
                  <c:v>-8.6813469892385482E-3</c:v>
                </c:pt>
                <c:pt idx="165">
                  <c:v>2.9940816568047382E-2</c:v>
                </c:pt>
                <c:pt idx="166">
                  <c:v>7.1814317727385011E-3</c:v>
                </c:pt>
                <c:pt idx="167">
                  <c:v>2.0877320413864753E-2</c:v>
                </c:pt>
                <c:pt idx="168">
                  <c:v>-1.0448650553452189E-2</c:v>
                </c:pt>
                <c:pt idx="169">
                  <c:v>-2.2586616964880924E-3</c:v>
                </c:pt>
                <c:pt idx="170">
                  <c:v>1.8562530026528544E-2</c:v>
                </c:pt>
                <c:pt idx="171">
                  <c:v>5.0011669074603187E-4</c:v>
                </c:pt>
                <c:pt idx="172">
                  <c:v>-1.1773254387667168E-2</c:v>
                </c:pt>
                <c:pt idx="173">
                  <c:v>-3.1469402047812753E-3</c:v>
                </c:pt>
                <c:pt idx="174">
                  <c:v>4.2279722883362776E-3</c:v>
                </c:pt>
                <c:pt idx="175">
                  <c:v>-4.7995975345211356E-2</c:v>
                </c:pt>
                <c:pt idx="176">
                  <c:v>-1.5154148597302951E-2</c:v>
                </c:pt>
                <c:pt idx="177">
                  <c:v>2.3769613848171122E-2</c:v>
                </c:pt>
                <c:pt idx="178">
                  <c:v>-4.386221288197518E-3</c:v>
                </c:pt>
                <c:pt idx="179">
                  <c:v>1.4508939893416908E-2</c:v>
                </c:pt>
                <c:pt idx="180">
                  <c:v>5.2110124690112536E-3</c:v>
                </c:pt>
                <c:pt idx="181">
                  <c:v>2.8512165033626122E-2</c:v>
                </c:pt>
                <c:pt idx="182">
                  <c:v>8.4010417607634019E-4</c:v>
                </c:pt>
                <c:pt idx="183">
                  <c:v>1.0071735938099909E-3</c:v>
                </c:pt>
                <c:pt idx="184">
                  <c:v>1.7328973208838095E-3</c:v>
                </c:pt>
                <c:pt idx="185">
                  <c:v>1.6127226832487154E-2</c:v>
                </c:pt>
                <c:pt idx="186">
                  <c:v>5.6565380999842249E-3</c:v>
                </c:pt>
                <c:pt idx="187">
                  <c:v>8.5736513918100755E-3</c:v>
                </c:pt>
                <c:pt idx="188">
                  <c:v>-2.2524245789980496E-2</c:v>
                </c:pt>
                <c:pt idx="189">
                  <c:v>-1.1521641896203675E-2</c:v>
                </c:pt>
                <c:pt idx="190">
                  <c:v>6.220235464615957E-3</c:v>
                </c:pt>
                <c:pt idx="191">
                  <c:v>-2.3613227039577061E-2</c:v>
                </c:pt>
                <c:pt idx="192">
                  <c:v>2.446950620986461E-2</c:v>
                </c:pt>
                <c:pt idx="193">
                  <c:v>-9.3536439543809979E-3</c:v>
                </c:pt>
                <c:pt idx="194">
                  <c:v>-3.4282359579477541E-3</c:v>
                </c:pt>
                <c:pt idx="195">
                  <c:v>-2.3629606556467102E-2</c:v>
                </c:pt>
                <c:pt idx="196">
                  <c:v>3.2922773842696124E-3</c:v>
                </c:pt>
                <c:pt idx="197">
                  <c:v>-2.0034519632144841E-2</c:v>
                </c:pt>
                <c:pt idx="198">
                  <c:v>5.8751027736163384E-4</c:v>
                </c:pt>
                <c:pt idx="199">
                  <c:v>3.4229607564541659E-2</c:v>
                </c:pt>
                <c:pt idx="200">
                  <c:v>3.0826047033529931E-2</c:v>
                </c:pt>
                <c:pt idx="201">
                  <c:v>1.8228863110156708E-2</c:v>
                </c:pt>
                <c:pt idx="202">
                  <c:v>6.4362756581550886E-3</c:v>
                </c:pt>
                <c:pt idx="203">
                  <c:v>-6.8250429189053857E-3</c:v>
                </c:pt>
                <c:pt idx="204">
                  <c:v>-8.6574915714247077E-3</c:v>
                </c:pt>
                <c:pt idx="205">
                  <c:v>2.5271485307022685E-2</c:v>
                </c:pt>
                <c:pt idx="206">
                  <c:v>3.5668601696519945E-3</c:v>
                </c:pt>
                <c:pt idx="207">
                  <c:v>-1.3845425013140608E-2</c:v>
                </c:pt>
                <c:pt idx="208">
                  <c:v>-4.1419527964050452E-3</c:v>
                </c:pt>
                <c:pt idx="209">
                  <c:v>6.9140548016512786E-3</c:v>
                </c:pt>
                <c:pt idx="210">
                  <c:v>-1.0031709456966574E-2</c:v>
                </c:pt>
                <c:pt idx="211">
                  <c:v>-1.4901918848560918E-2</c:v>
                </c:pt>
                <c:pt idx="212">
                  <c:v>-1.7052478790733538E-3</c:v>
                </c:pt>
                <c:pt idx="213">
                  <c:v>2.1765467748853136E-2</c:v>
                </c:pt>
                <c:pt idx="214">
                  <c:v>-1.6177965341345013E-3</c:v>
                </c:pt>
                <c:pt idx="215">
                  <c:v>1.5502592353951423E-2</c:v>
                </c:pt>
                <c:pt idx="216">
                  <c:v>1.542549999999996E-2</c:v>
                </c:pt>
                <c:pt idx="217">
                  <c:v>-5.5526350618951776E-3</c:v>
                </c:pt>
                <c:pt idx="218">
                  <c:v>7.1112833356780049E-3</c:v>
                </c:pt>
                <c:pt idx="219">
                  <c:v>-1.6528076609361557E-2</c:v>
                </c:pt>
                <c:pt idx="220">
                  <c:v>-7.1265064464527865E-3</c:v>
                </c:pt>
                <c:pt idx="221">
                  <c:v>-3.6316877858301198E-2</c:v>
                </c:pt>
                <c:pt idx="222">
                  <c:v>-1.5730098032791878E-2</c:v>
                </c:pt>
                <c:pt idx="223">
                  <c:v>-1.3948503343703351E-2</c:v>
                </c:pt>
                <c:pt idx="224">
                  <c:v>-2.8807049832157112E-2</c:v>
                </c:pt>
                <c:pt idx="225">
                  <c:v>-3.6560619924984853E-3</c:v>
                </c:pt>
                <c:pt idx="226">
                  <c:v>2.1721104687217614E-2</c:v>
                </c:pt>
                <c:pt idx="227">
                  <c:v>1.0658610593216312E-2</c:v>
                </c:pt>
                <c:pt idx="228">
                  <c:v>1.8054645394310467E-2</c:v>
                </c:pt>
                <c:pt idx="229">
                  <c:v>9.4020833634187468E-3</c:v>
                </c:pt>
                <c:pt idx="230">
                  <c:v>-2.593560255200646E-2</c:v>
                </c:pt>
                <c:pt idx="231">
                  <c:v>1.047871055015299E-2</c:v>
                </c:pt>
                <c:pt idx="232">
                  <c:v>-2.6746761337639459E-2</c:v>
                </c:pt>
                <c:pt idx="233">
                  <c:v>1.0480366812227096E-2</c:v>
                </c:pt>
                <c:pt idx="234">
                  <c:v>-1.0372111604055405E-3</c:v>
                </c:pt>
                <c:pt idx="235">
                  <c:v>-1.2055119457089361E-2</c:v>
                </c:pt>
                <c:pt idx="236">
                  <c:v>7.9402148992305001E-3</c:v>
                </c:pt>
                <c:pt idx="237">
                  <c:v>1.5523679422634933E-2</c:v>
                </c:pt>
                <c:pt idx="238">
                  <c:v>5.5326600574457296E-3</c:v>
                </c:pt>
                <c:pt idx="239">
                  <c:v>-2.2462936963188841E-2</c:v>
                </c:pt>
                <c:pt idx="240">
                  <c:v>3.713799063264613E-3</c:v>
                </c:pt>
                <c:pt idx="241">
                  <c:v>-3.8734924907585133E-3</c:v>
                </c:pt>
                <c:pt idx="242">
                  <c:v>7.5443991721806461E-4</c:v>
                </c:pt>
                <c:pt idx="243">
                  <c:v>6.5069891872001628E-2</c:v>
                </c:pt>
                <c:pt idx="244">
                  <c:v>1.9058318074326079E-3</c:v>
                </c:pt>
                <c:pt idx="245">
                  <c:v>9.2935163043477726E-3</c:v>
                </c:pt>
                <c:pt idx="246">
                  <c:v>2.686979598250732E-2</c:v>
                </c:pt>
                <c:pt idx="247">
                  <c:v>-1.9401940525462554E-3</c:v>
                </c:pt>
                <c:pt idx="248">
                  <c:v>2.4694004889465422E-3</c:v>
                </c:pt>
                <c:pt idx="249">
                  <c:v>-5.2935533758874942E-3</c:v>
                </c:pt>
                <c:pt idx="250">
                  <c:v>-5.479704085346637E-3</c:v>
                </c:pt>
                <c:pt idx="251">
                  <c:v>-5.0861298013244521E-3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EA-4FFB-9C33-4C12FD94F7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8124160"/>
        <c:axId val="553671104"/>
      </c:scatterChart>
      <c:valAx>
        <c:axId val="308124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53671104"/>
        <c:crosses val="autoZero"/>
        <c:crossBetween val="midCat"/>
      </c:valAx>
      <c:valAx>
        <c:axId val="55367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08124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2</xdr:row>
      <xdr:rowOff>95250</xdr:rowOff>
    </xdr:from>
    <xdr:ext cx="5514975" cy="150137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666750" y="476250"/>
          <a:ext cx="5514975" cy="15013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CA" sz="1800"/>
            <a:t>You are a portfolio manager and would like to hedge systematic risk.</a:t>
          </a:r>
        </a:p>
        <a:p>
          <a:endParaRPr lang="en-CA" sz="1800"/>
        </a:p>
        <a:p>
          <a:r>
            <a:rPr lang="en-CA" sz="1800"/>
            <a:t>If you plan to use futures on the S&amp;P500 index,</a:t>
          </a:r>
          <a:r>
            <a:rPr lang="en-CA" sz="1800" baseline="0"/>
            <a:t> how many contracts do you need to short?</a:t>
          </a:r>
          <a:endParaRPr lang="en-CA" sz="18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520700</xdr:colOff>
      <xdr:row>8</xdr:row>
      <xdr:rowOff>57150</xdr:rowOff>
    </xdr:from>
    <xdr:to>
      <xdr:col>19</xdr:col>
      <xdr:colOff>203200</xdr:colOff>
      <xdr:row>33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BBE208-6B2A-F6D2-D166-5BA135F4F6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zoomScale="170" zoomScaleNormal="170" workbookViewId="0">
      <selection activeCell="C40" sqref="C40"/>
    </sheetView>
  </sheetViews>
  <sheetFormatPr defaultRowHeight="14"/>
  <sheetData>
    <row r="1" spans="1:11">
      <c r="A1" s="6"/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>
      <c r="A3" s="6"/>
      <c r="B3" s="6"/>
      <c r="C3" s="6"/>
      <c r="D3" s="6"/>
      <c r="E3" s="6"/>
      <c r="F3" s="6"/>
      <c r="G3" s="6"/>
      <c r="H3" s="6"/>
      <c r="I3" s="6"/>
      <c r="J3" s="6"/>
      <c r="K3" s="6"/>
    </row>
    <row r="4" spans="1:11">
      <c r="A4" s="6"/>
      <c r="B4" s="6"/>
      <c r="C4" s="6"/>
      <c r="D4" s="6"/>
      <c r="E4" s="6"/>
      <c r="F4" s="6"/>
      <c r="G4" s="6"/>
      <c r="H4" s="6"/>
      <c r="I4" s="6"/>
      <c r="J4" s="6"/>
      <c r="K4" s="6"/>
    </row>
    <row r="5" spans="1:11">
      <c r="A5" s="6"/>
      <c r="B5" s="6"/>
      <c r="C5" s="6"/>
      <c r="D5" s="6"/>
      <c r="E5" s="6"/>
      <c r="F5" s="6"/>
      <c r="G5" s="6"/>
      <c r="H5" s="6"/>
      <c r="I5" s="6"/>
      <c r="J5" s="6"/>
      <c r="K5" s="6"/>
    </row>
    <row r="6" spans="1:11">
      <c r="A6" s="6"/>
      <c r="B6" s="6"/>
      <c r="C6" s="6"/>
      <c r="D6" s="6"/>
      <c r="E6" s="6"/>
      <c r="F6" s="6"/>
      <c r="G6" s="6"/>
      <c r="H6" s="6"/>
      <c r="I6" s="6"/>
      <c r="J6" s="6"/>
      <c r="K6" s="6"/>
    </row>
    <row r="7" spans="1:11">
      <c r="A7" s="6"/>
      <c r="B7" s="6"/>
      <c r="C7" s="6"/>
      <c r="D7" s="6"/>
      <c r="E7" s="6"/>
      <c r="F7" s="6"/>
      <c r="G7" s="6"/>
      <c r="H7" s="6"/>
      <c r="I7" s="6"/>
      <c r="J7" s="6"/>
      <c r="K7" s="6"/>
    </row>
    <row r="8" spans="1:11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spans="1:11">
      <c r="A9" s="6"/>
      <c r="B9" s="6"/>
      <c r="C9" s="6"/>
      <c r="D9" s="6"/>
      <c r="E9" s="6"/>
      <c r="F9" s="6"/>
      <c r="G9" s="6"/>
      <c r="H9" s="6"/>
      <c r="I9" s="6"/>
      <c r="J9" s="6"/>
      <c r="K9" s="6"/>
    </row>
    <row r="10" spans="1:1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</row>
    <row r="11" spans="1: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</row>
    <row r="12" spans="1:1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</row>
    <row r="13" spans="1:1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</row>
    <row r="14" spans="1:1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</row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217E5-46FE-41DB-821C-A9B2E1A3D0BD}">
  <dimension ref="A1:I276"/>
  <sheetViews>
    <sheetView tabSelected="1" topLeftCell="A8" workbookViewId="0">
      <selection activeCell="J22" sqref="J22"/>
    </sheetView>
  </sheetViews>
  <sheetFormatPr defaultRowHeight="14"/>
  <cols>
    <col min="7" max="7" width="14.75" bestFit="1" customWidth="1"/>
  </cols>
  <sheetData>
    <row r="1" spans="1:9">
      <c r="A1" t="s">
        <v>4</v>
      </c>
    </row>
    <row r="2" spans="1:9" ht="14.5" thickBot="1"/>
    <row r="3" spans="1:9">
      <c r="A3" s="13" t="s">
        <v>5</v>
      </c>
      <c r="B3" s="13"/>
    </row>
    <row r="4" spans="1:9">
      <c r="A4" s="10" t="s">
        <v>6</v>
      </c>
      <c r="B4" s="10">
        <v>0.33491791588690167</v>
      </c>
    </row>
    <row r="5" spans="1:9">
      <c r="A5" s="10" t="s">
        <v>7</v>
      </c>
      <c r="B5" s="10">
        <v>0.11217001038202576</v>
      </c>
    </row>
    <row r="6" spans="1:9">
      <c r="A6" s="10" t="s">
        <v>8</v>
      </c>
      <c r="B6" s="10">
        <v>0.10861869042355386</v>
      </c>
    </row>
    <row r="7" spans="1:9">
      <c r="A7" s="10" t="s">
        <v>9</v>
      </c>
      <c r="B7" s="10">
        <v>1.5877497347092994E-2</v>
      </c>
    </row>
    <row r="8" spans="1:9" ht="14.5" thickBot="1">
      <c r="A8" s="11" t="s">
        <v>10</v>
      </c>
      <c r="B8" s="11">
        <v>252</v>
      </c>
    </row>
    <row r="10" spans="1:9" ht="14.5" thickBot="1">
      <c r="A10" t="s">
        <v>11</v>
      </c>
    </row>
    <row r="11" spans="1:9">
      <c r="A11" s="12"/>
      <c r="B11" s="12" t="s">
        <v>16</v>
      </c>
      <c r="C11" s="12" t="s">
        <v>17</v>
      </c>
      <c r="D11" s="12" t="s">
        <v>18</v>
      </c>
      <c r="E11" s="12" t="s">
        <v>19</v>
      </c>
      <c r="F11" s="12" t="s">
        <v>20</v>
      </c>
    </row>
    <row r="12" spans="1:9">
      <c r="A12" s="10" t="s">
        <v>12</v>
      </c>
      <c r="B12" s="10">
        <v>1</v>
      </c>
      <c r="C12" s="10">
        <v>7.9625295240766114E-3</v>
      </c>
      <c r="D12" s="10">
        <v>7.9625295240766114E-3</v>
      </c>
      <c r="E12" s="10">
        <v>31.585441946574583</v>
      </c>
      <c r="F12" s="10">
        <v>5.0828857516886406E-8</v>
      </c>
    </row>
    <row r="13" spans="1:9">
      <c r="A13" s="10" t="s">
        <v>13</v>
      </c>
      <c r="B13" s="10">
        <v>250</v>
      </c>
      <c r="C13" s="10">
        <v>6.3023730501736278E-2</v>
      </c>
      <c r="D13" s="10">
        <v>2.5209492200694509E-4</v>
      </c>
      <c r="E13" s="10"/>
      <c r="F13" s="10"/>
    </row>
    <row r="14" spans="1:9" ht="14.5" thickBot="1">
      <c r="A14" s="11" t="s">
        <v>14</v>
      </c>
      <c r="B14" s="11">
        <v>251</v>
      </c>
      <c r="C14" s="11">
        <v>7.0986260025812889E-2</v>
      </c>
      <c r="D14" s="11"/>
      <c r="E14" s="11"/>
      <c r="F14" s="11"/>
    </row>
    <row r="15" spans="1:9" ht="14.5" thickBot="1"/>
    <row r="16" spans="1:9">
      <c r="A16" s="12"/>
      <c r="B16" s="12" t="s">
        <v>21</v>
      </c>
      <c r="C16" s="12" t="s">
        <v>9</v>
      </c>
      <c r="D16" s="12" t="s">
        <v>22</v>
      </c>
      <c r="E16" s="12" t="s">
        <v>23</v>
      </c>
      <c r="F16" s="12" t="s">
        <v>24</v>
      </c>
      <c r="G16" s="12" t="s">
        <v>25</v>
      </c>
      <c r="H16" s="12" t="s">
        <v>26</v>
      </c>
      <c r="I16" s="12" t="s">
        <v>27</v>
      </c>
    </row>
    <row r="17" spans="1:9">
      <c r="A17" s="10" t="s">
        <v>15</v>
      </c>
      <c r="B17" s="10">
        <v>1.7181743268833347E-3</v>
      </c>
      <c r="C17" s="10">
        <v>1.0188135888216396E-3</v>
      </c>
      <c r="D17" s="10">
        <v>1.6864462211095714</v>
      </c>
      <c r="E17" s="10">
        <v>9.295733850619374E-2</v>
      </c>
      <c r="F17" s="10">
        <v>-2.8837739949651837E-4</v>
      </c>
      <c r="G17" s="10">
        <v>3.7247260532631875E-3</v>
      </c>
      <c r="H17" s="10">
        <v>-2.8837739949651837E-4</v>
      </c>
      <c r="I17" s="10">
        <v>3.7247260532631875E-3</v>
      </c>
    </row>
    <row r="18" spans="1:9" ht="14.5" thickBot="1">
      <c r="A18" s="11" t="s">
        <v>33</v>
      </c>
      <c r="B18" s="11">
        <v>1.3263342432567617</v>
      </c>
      <c r="C18" s="11">
        <v>0.23599864170694443</v>
      </c>
      <c r="D18" s="11">
        <v>5.6200926991086719</v>
      </c>
      <c r="E18" s="11">
        <v>5.0828857516886406E-8</v>
      </c>
      <c r="F18" s="11">
        <v>0.86153529756536162</v>
      </c>
      <c r="G18" s="11">
        <v>1.7911331889481619</v>
      </c>
      <c r="H18" s="11">
        <v>0.86153529756536162</v>
      </c>
      <c r="I18" s="11">
        <v>1.7911331889481619</v>
      </c>
    </row>
    <row r="21" spans="1:9">
      <c r="G21">
        <f>'S&amp;P500 futures'!B254*50</f>
        <v>139311.99950000001</v>
      </c>
    </row>
    <row r="22" spans="1:9">
      <c r="A22" t="s">
        <v>28</v>
      </c>
      <c r="G22" s="14">
        <f>Portfolio!B254*1000000</f>
        <v>187789993</v>
      </c>
    </row>
    <row r="23" spans="1:9" ht="14.5" thickBot="1">
      <c r="G23" s="14">
        <f>G22/G21</f>
        <v>1347.9814637216516</v>
      </c>
    </row>
    <row r="24" spans="1:9">
      <c r="A24" s="12" t="s">
        <v>29</v>
      </c>
      <c r="B24" s="12" t="s">
        <v>34</v>
      </c>
      <c r="C24" s="12" t="s">
        <v>30</v>
      </c>
      <c r="D24" s="12" t="s">
        <v>31</v>
      </c>
      <c r="G24" s="14">
        <f>G23*B18</f>
        <v>1787.8739746093988</v>
      </c>
    </row>
    <row r="25" spans="1:9">
      <c r="A25" s="10">
        <v>1</v>
      </c>
      <c r="B25" s="10">
        <v>4.1716812693224879E-3</v>
      </c>
      <c r="C25" s="10">
        <v>-3.1354787741700143E-4</v>
      </c>
      <c r="D25" s="10">
        <v>-1.9787397249017177E-2</v>
      </c>
    </row>
    <row r="26" spans="1:9">
      <c r="A26" s="10">
        <v>2</v>
      </c>
      <c r="B26" s="10">
        <v>-2.2177261070862112E-3</v>
      </c>
      <c r="C26" s="10">
        <v>6.5967058954000601E-4</v>
      </c>
      <c r="D26" s="10">
        <v>4.1630529016024771E-2</v>
      </c>
    </row>
    <row r="27" spans="1:9">
      <c r="A27" s="10">
        <v>3</v>
      </c>
      <c r="B27" s="10">
        <v>4.0575017295947004E-3</v>
      </c>
      <c r="C27" s="10">
        <v>-5.3059723523015785E-3</v>
      </c>
      <c r="D27" s="10">
        <v>-0.33484960444385564</v>
      </c>
    </row>
    <row r="28" spans="1:9">
      <c r="A28" s="10">
        <v>4</v>
      </c>
      <c r="B28" s="10">
        <v>-3.0689754219542908E-3</v>
      </c>
      <c r="C28" s="10">
        <v>4.8397879219543609E-3</v>
      </c>
      <c r="D28" s="10">
        <v>0.30542961094691673</v>
      </c>
    </row>
    <row r="29" spans="1:9">
      <c r="A29" s="10">
        <v>5</v>
      </c>
      <c r="B29" s="10">
        <v>6.1829304129541306E-3</v>
      </c>
      <c r="C29" s="10">
        <v>-7.3267382770243125E-3</v>
      </c>
      <c r="D29" s="10">
        <v>-0.46237621514575972</v>
      </c>
    </row>
    <row r="30" spans="1:9">
      <c r="A30" s="10">
        <v>6</v>
      </c>
      <c r="B30" s="10">
        <v>-1.8498305953353865E-3</v>
      </c>
      <c r="C30" s="10">
        <v>2.6313770309346288E-2</v>
      </c>
      <c r="D30" s="10">
        <v>1.6606109105881508</v>
      </c>
    </row>
    <row r="31" spans="1:9">
      <c r="A31" s="10">
        <v>7</v>
      </c>
      <c r="B31" s="10">
        <v>1.0425019552457164E-2</v>
      </c>
      <c r="C31" s="10">
        <v>2.0262876771579223E-2</v>
      </c>
      <c r="D31" s="10">
        <v>1.2787507776806919</v>
      </c>
    </row>
    <row r="32" spans="1:9">
      <c r="A32" s="10">
        <v>8</v>
      </c>
      <c r="B32" s="10">
        <v>1.2363453163979399E-2</v>
      </c>
      <c r="C32" s="10">
        <v>1.3565739382604313E-2</v>
      </c>
      <c r="D32" s="10">
        <v>0.85610745112214726</v>
      </c>
    </row>
    <row r="33" spans="1:4">
      <c r="A33" s="10">
        <v>9</v>
      </c>
      <c r="B33" s="10">
        <v>7.4280912074981128E-4</v>
      </c>
      <c r="C33" s="10">
        <v>-1.3331681167431893E-2</v>
      </c>
      <c r="D33" s="10">
        <v>-0.84133649199091032</v>
      </c>
    </row>
    <row r="34" spans="1:4">
      <c r="A34" s="10">
        <v>10</v>
      </c>
      <c r="B34" s="10">
        <v>5.6895315318055599E-4</v>
      </c>
      <c r="C34" s="10">
        <v>-7.1869580193606713E-3</v>
      </c>
      <c r="D34" s="10">
        <v>-0.45355495470940865</v>
      </c>
    </row>
    <row r="35" spans="1:4">
      <c r="A35" s="10">
        <v>11</v>
      </c>
      <c r="B35" s="10">
        <v>-6.2524889922644976E-3</v>
      </c>
      <c r="C35" s="10">
        <v>-4.0345983007695927E-3</v>
      </c>
      <c r="D35" s="10">
        <v>-0.2546156586203342</v>
      </c>
    </row>
    <row r="36" spans="1:4">
      <c r="A36" s="10">
        <v>12</v>
      </c>
      <c r="B36" s="10">
        <v>5.3786240280962426E-4</v>
      </c>
      <c r="C36" s="10">
        <v>2.3328662510428352E-3</v>
      </c>
      <c r="D36" s="10">
        <v>0.14722265581411656</v>
      </c>
    </row>
    <row r="37" spans="1:4">
      <c r="A37" s="10">
        <v>13</v>
      </c>
      <c r="B37" s="10">
        <v>2.1139042493386155E-3</v>
      </c>
      <c r="C37" s="10">
        <v>4.5249595925678969E-4</v>
      </c>
      <c r="D37" s="10">
        <v>2.855614068623159E-2</v>
      </c>
    </row>
    <row r="38" spans="1:4">
      <c r="A38" s="10">
        <v>14</v>
      </c>
      <c r="B38" s="10">
        <v>2.4745953176696775E-3</v>
      </c>
      <c r="C38" s="10">
        <v>-9.6617962628305909E-3</v>
      </c>
      <c r="D38" s="10">
        <v>-0.6097371870817585</v>
      </c>
    </row>
    <row r="39" spans="1:4">
      <c r="A39" s="10">
        <v>15</v>
      </c>
      <c r="B39" s="10">
        <v>1.1353671633439748E-2</v>
      </c>
      <c r="C39" s="10">
        <v>-1.5816156935402635E-2</v>
      </c>
      <c r="D39" s="10">
        <v>-0.99812692980660722</v>
      </c>
    </row>
    <row r="40" spans="1:4">
      <c r="A40" s="10">
        <v>16</v>
      </c>
      <c r="B40" s="10">
        <v>-1.0874959176862219E-3</v>
      </c>
      <c r="C40" s="10">
        <v>6.1677131213939097E-3</v>
      </c>
      <c r="D40" s="10">
        <v>0.38923238982315461</v>
      </c>
    </row>
    <row r="41" spans="1:4">
      <c r="A41" s="10">
        <v>17</v>
      </c>
      <c r="B41" s="10">
        <v>2.0190253358401303E-3</v>
      </c>
      <c r="C41" s="10">
        <v>-2.7127815163405767E-3</v>
      </c>
      <c r="D41" s="10">
        <v>-0.17119836994537269</v>
      </c>
    </row>
    <row r="42" spans="1:4">
      <c r="A42" s="10">
        <v>18</v>
      </c>
      <c r="B42" s="10">
        <v>2.6377516930935763E-3</v>
      </c>
      <c r="C42" s="10">
        <v>2.4536679980526742E-2</v>
      </c>
      <c r="D42" s="10">
        <v>1.5484621932266465</v>
      </c>
    </row>
    <row r="43" spans="1:4">
      <c r="A43" s="10">
        <v>19</v>
      </c>
      <c r="B43" s="10">
        <v>9.3479734881095171E-3</v>
      </c>
      <c r="C43" s="10">
        <v>-1.1568732395128865E-2</v>
      </c>
      <c r="D43" s="10">
        <v>-0.73008022078090584</v>
      </c>
    </row>
    <row r="44" spans="1:4">
      <c r="A44" s="10">
        <v>20</v>
      </c>
      <c r="B44" s="10">
        <v>6.4479489971502168E-3</v>
      </c>
      <c r="C44" s="10">
        <v>-1.5931160124814693E-2</v>
      </c>
      <c r="D44" s="10">
        <v>-1.0053845576130742</v>
      </c>
    </row>
    <row r="45" spans="1:4">
      <c r="A45" s="10">
        <v>21</v>
      </c>
      <c r="B45" s="10">
        <v>8.6759181172874934E-3</v>
      </c>
      <c r="C45" s="10">
        <v>-1.4465610171444159E-3</v>
      </c>
      <c r="D45" s="10">
        <v>-9.1289654795241981E-2</v>
      </c>
    </row>
    <row r="46" spans="1:4">
      <c r="A46" s="10">
        <v>22</v>
      </c>
      <c r="B46" s="10">
        <v>7.0332401246526923E-3</v>
      </c>
      <c r="C46" s="10">
        <v>-2.167923458917247E-2</v>
      </c>
      <c r="D46" s="10">
        <v>-1.368134367243939</v>
      </c>
    </row>
    <row r="47" spans="1:4">
      <c r="A47" s="10">
        <v>23</v>
      </c>
      <c r="B47" s="10">
        <v>8.3396446715392619E-3</v>
      </c>
      <c r="C47" s="10">
        <v>-8.7333153239132957E-3</v>
      </c>
      <c r="D47" s="10">
        <v>-0.55114255927612066</v>
      </c>
    </row>
    <row r="48" spans="1:4">
      <c r="A48" s="10">
        <v>24</v>
      </c>
      <c r="B48" s="10">
        <v>5.7206515267697183E-4</v>
      </c>
      <c r="C48" s="10">
        <v>-7.7606715380456716E-3</v>
      </c>
      <c r="D48" s="10">
        <v>-0.48976090001789374</v>
      </c>
    </row>
    <row r="49" spans="1:4">
      <c r="A49" s="10">
        <v>25</v>
      </c>
      <c r="B49" s="10">
        <v>3.9445011003749059E-3</v>
      </c>
      <c r="C49" s="10">
        <v>-6.9201309357249316E-3</v>
      </c>
      <c r="D49" s="10">
        <v>-0.43671601596680876</v>
      </c>
    </row>
    <row r="50" spans="1:4">
      <c r="A50" s="10">
        <v>26</v>
      </c>
      <c r="B50" s="10">
        <v>9.7399317493185294E-3</v>
      </c>
      <c r="C50" s="10">
        <v>6.1773588172539442E-3</v>
      </c>
      <c r="D50" s="10">
        <v>0.38984111094510265</v>
      </c>
    </row>
    <row r="51" spans="1:4">
      <c r="A51" s="10">
        <v>27</v>
      </c>
      <c r="B51" s="10">
        <v>2.8281490943689726E-4</v>
      </c>
      <c r="C51" s="10">
        <v>2.0085320019035437E-2</v>
      </c>
      <c r="D51" s="10">
        <v>1.2675455160607678</v>
      </c>
    </row>
    <row r="52" spans="1:4">
      <c r="A52" s="10">
        <v>28</v>
      </c>
      <c r="B52" s="10">
        <v>2.2738911931817194E-3</v>
      </c>
      <c r="C52" s="10">
        <v>-1.8972528910033093E-2</v>
      </c>
      <c r="D52" s="10">
        <v>-1.1973194315776017</v>
      </c>
    </row>
    <row r="53" spans="1:4">
      <c r="A53" s="10">
        <v>29</v>
      </c>
      <c r="B53" s="10">
        <v>3.6988742247296702E-3</v>
      </c>
      <c r="C53" s="10">
        <v>1.0834603915335994E-3</v>
      </c>
      <c r="D53" s="10">
        <v>6.8375079899962179E-2</v>
      </c>
    </row>
    <row r="54" spans="1:4">
      <c r="A54" s="10">
        <v>30</v>
      </c>
      <c r="B54" s="10">
        <v>3.0683600585564982E-3</v>
      </c>
      <c r="C54" s="10">
        <v>3.2453943750643515E-3</v>
      </c>
      <c r="D54" s="10">
        <v>0.20481053247162598</v>
      </c>
    </row>
    <row r="55" spans="1:4">
      <c r="A55" s="10">
        <v>31</v>
      </c>
      <c r="B55" s="10">
        <v>-1.7016143192028785E-3</v>
      </c>
      <c r="C55" s="10">
        <v>-5.0551039579538326E-3</v>
      </c>
      <c r="D55" s="10">
        <v>-0.31901778757086158</v>
      </c>
    </row>
    <row r="56" spans="1:4">
      <c r="A56" s="10">
        <v>32</v>
      </c>
      <c r="B56" s="10">
        <v>1.985427579468297E-2</v>
      </c>
      <c r="C56" s="10">
        <v>-8.7755685270193302E-3</v>
      </c>
      <c r="D56" s="10">
        <v>-0.5538090768165681</v>
      </c>
    </row>
    <row r="57" spans="1:4">
      <c r="A57" s="10">
        <v>33</v>
      </c>
      <c r="B57" s="10">
        <v>-6.0539858116309313E-3</v>
      </c>
      <c r="C57" s="10">
        <v>-2.1159391386773333E-3</v>
      </c>
      <c r="D57" s="10">
        <v>-0.13353280729139899</v>
      </c>
    </row>
    <row r="58" spans="1:4">
      <c r="A58" s="10">
        <v>34</v>
      </c>
      <c r="B58" s="10">
        <v>2.3864838331696713E-3</v>
      </c>
      <c r="C58" s="10">
        <v>-1.223619237043525E-3</v>
      </c>
      <c r="D58" s="10">
        <v>-7.7220232279610043E-2</v>
      </c>
    </row>
    <row r="59" spans="1:4">
      <c r="A59" s="10">
        <v>35</v>
      </c>
      <c r="B59" s="10">
        <v>-2.6285421031141606E-3</v>
      </c>
      <c r="C59" s="10">
        <v>-7.0510631563884107E-3</v>
      </c>
      <c r="D59" s="10">
        <v>-0.44497889398182588</v>
      </c>
    </row>
    <row r="60" spans="1:4">
      <c r="A60" s="10">
        <v>36</v>
      </c>
      <c r="B60" s="10">
        <v>-2.1459330556640715E-3</v>
      </c>
      <c r="C60" s="10">
        <v>5.2736723407338449E-3</v>
      </c>
      <c r="D60" s="10">
        <v>0.33281121348007758</v>
      </c>
    </row>
    <row r="61" spans="1:4">
      <c r="A61" s="10">
        <v>37</v>
      </c>
      <c r="B61" s="10">
        <v>-1.3114589637109621E-3</v>
      </c>
      <c r="C61" s="10">
        <v>7.0603044986084574E-3</v>
      </c>
      <c r="D61" s="10">
        <v>0.44556209713130529</v>
      </c>
    </row>
    <row r="62" spans="1:4">
      <c r="A62" s="10">
        <v>38</v>
      </c>
      <c r="B62" s="10">
        <v>2.7791030900404523E-3</v>
      </c>
      <c r="C62" s="10">
        <v>-2.5853712570015862E-3</v>
      </c>
      <c r="D62" s="10">
        <v>-0.1631577560655729</v>
      </c>
    </row>
    <row r="63" spans="1:4">
      <c r="A63" s="10">
        <v>39</v>
      </c>
      <c r="B63" s="10">
        <v>6.0535238356462647E-3</v>
      </c>
      <c r="C63" s="10">
        <v>-4.6005888985494701E-3</v>
      </c>
      <c r="D63" s="10">
        <v>-0.29033422539788706</v>
      </c>
    </row>
    <row r="64" spans="1:4">
      <c r="A64" s="10">
        <v>40</v>
      </c>
      <c r="B64" s="10">
        <v>2.2044519546037308E-3</v>
      </c>
      <c r="C64" s="10">
        <v>1.5108644256955414E-2</v>
      </c>
      <c r="D64" s="10">
        <v>0.9534771795276975</v>
      </c>
    </row>
    <row r="65" spans="1:4">
      <c r="A65" s="10">
        <v>41</v>
      </c>
      <c r="B65" s="10">
        <v>-2.7635453862682431E-3</v>
      </c>
      <c r="C65" s="10">
        <v>-6.0784397820147643E-3</v>
      </c>
      <c r="D65" s="10">
        <v>-0.38359852285331975</v>
      </c>
    </row>
    <row r="66" spans="1:4">
      <c r="A66" s="10">
        <v>42</v>
      </c>
      <c r="B66" s="10">
        <v>1.2825895968395538E-2</v>
      </c>
      <c r="C66" s="10">
        <v>-1.819757942163288E-2</v>
      </c>
      <c r="D66" s="10">
        <v>-1.1484138752676034</v>
      </c>
    </row>
    <row r="67" spans="1:4">
      <c r="A67" s="10">
        <v>43</v>
      </c>
      <c r="B67" s="10">
        <v>-4.393872331601757E-4</v>
      </c>
      <c r="C67" s="10">
        <v>1.914895385077868E-2</v>
      </c>
      <c r="D67" s="10">
        <v>1.2084532667543089</v>
      </c>
    </row>
    <row r="68" spans="1:4">
      <c r="A68" s="10">
        <v>44</v>
      </c>
      <c r="B68" s="10">
        <v>-2.5046496439328587E-5</v>
      </c>
      <c r="C68" s="10">
        <v>-1.6425579048591027E-4</v>
      </c>
      <c r="D68" s="10">
        <v>-1.0365863751242885E-2</v>
      </c>
    </row>
    <row r="69" spans="1:4">
      <c r="A69" s="10">
        <v>45</v>
      </c>
      <c r="B69" s="10">
        <v>-9.4761612679495548E-4</v>
      </c>
      <c r="C69" s="10">
        <v>1.6476439007877999E-2</v>
      </c>
      <c r="D69" s="10">
        <v>1.0397960483224322</v>
      </c>
    </row>
    <row r="70" spans="1:4">
      <c r="A70" s="10">
        <v>46</v>
      </c>
      <c r="B70" s="10">
        <v>-1.4738944975568454E-2</v>
      </c>
      <c r="C70" s="10">
        <v>-5.400952460328989E-3</v>
      </c>
      <c r="D70" s="10">
        <v>-0.34084361449353434</v>
      </c>
    </row>
    <row r="71" spans="1:4">
      <c r="A71" s="10">
        <v>47</v>
      </c>
      <c r="B71" s="10">
        <v>4.2247950598260659E-3</v>
      </c>
      <c r="C71" s="10">
        <v>5.2908585519601606E-3</v>
      </c>
      <c r="D71" s="10">
        <v>0.33389580187385692</v>
      </c>
    </row>
    <row r="72" spans="1:4">
      <c r="A72" s="10">
        <v>48</v>
      </c>
      <c r="B72" s="10">
        <v>3.1190250024266996E-4</v>
      </c>
      <c r="C72" s="10">
        <v>2.0048207608537056E-2</v>
      </c>
      <c r="D72" s="10">
        <v>1.2652034239520613</v>
      </c>
    </row>
    <row r="73" spans="1:4">
      <c r="A73" s="10">
        <v>49</v>
      </c>
      <c r="B73" s="10">
        <v>5.9875343097926209E-4</v>
      </c>
      <c r="C73" s="10">
        <v>-2.5386980037274956E-3</v>
      </c>
      <c r="D73" s="10">
        <v>-0.16021229774818119</v>
      </c>
    </row>
    <row r="74" spans="1:4">
      <c r="A74" s="10">
        <v>50</v>
      </c>
      <c r="B74" s="10">
        <v>3.6586090085928579E-4</v>
      </c>
      <c r="C74" s="10">
        <v>4.3815984904644603E-6</v>
      </c>
      <c r="D74" s="10">
        <v>2.7651416629176373E-4</v>
      </c>
    </row>
    <row r="75" spans="1:4">
      <c r="A75" s="10">
        <v>51</v>
      </c>
      <c r="B75" s="10">
        <v>1.1336052810068577E-2</v>
      </c>
      <c r="C75" s="10">
        <v>-1.3926717084852635E-2</v>
      </c>
      <c r="D75" s="10">
        <v>-0.87888805244934254</v>
      </c>
    </row>
    <row r="76" spans="1:4">
      <c r="A76" s="10">
        <v>52</v>
      </c>
      <c r="B76" s="10">
        <v>3.1576780062382622E-3</v>
      </c>
      <c r="C76" s="10">
        <v>1.2705020995727406E-2</v>
      </c>
      <c r="D76" s="10">
        <v>0.80178918629774276</v>
      </c>
    </row>
    <row r="77" spans="1:4">
      <c r="A77" s="10">
        <v>53</v>
      </c>
      <c r="B77" s="10">
        <v>5.611111266429057E-3</v>
      </c>
      <c r="C77" s="10">
        <v>-1.1637994546003838E-2</v>
      </c>
      <c r="D77" s="10">
        <v>-0.73445122053052858</v>
      </c>
    </row>
    <row r="78" spans="1:4">
      <c r="A78" s="10">
        <v>54</v>
      </c>
      <c r="B78" s="10">
        <v>-1.2727724396422405E-3</v>
      </c>
      <c r="C78" s="10">
        <v>-8.0978845997819217E-3</v>
      </c>
      <c r="D78" s="10">
        <v>-0.51104176106246835</v>
      </c>
    </row>
    <row r="79" spans="1:4">
      <c r="A79" s="10">
        <v>55</v>
      </c>
      <c r="B79" s="10">
        <v>-4.5983311618739519E-4</v>
      </c>
      <c r="C79" s="10">
        <v>2.8709802475767286E-3</v>
      </c>
      <c r="D79" s="10">
        <v>0.18118198445760572</v>
      </c>
    </row>
    <row r="80" spans="1:4">
      <c r="A80" s="10">
        <v>56</v>
      </c>
      <c r="B80" s="10">
        <v>2.4602881205133824E-3</v>
      </c>
      <c r="C80" s="10">
        <v>-7.7336623558126021E-3</v>
      </c>
      <c r="D80" s="10">
        <v>-0.48805640301214276</v>
      </c>
    </row>
    <row r="81" spans="1:4">
      <c r="A81" s="10">
        <v>57</v>
      </c>
      <c r="B81" s="10">
        <v>-2.33359272424934E-3</v>
      </c>
      <c r="C81" s="10">
        <v>1.5895915874189817E-3</v>
      </c>
      <c r="D81" s="10">
        <v>0.10031603614437255</v>
      </c>
    </row>
    <row r="82" spans="1:4">
      <c r="A82" s="10">
        <v>58</v>
      </c>
      <c r="B82" s="10">
        <v>4.2773486896282723E-3</v>
      </c>
      <c r="C82" s="10">
        <v>1.3071541848225007E-3</v>
      </c>
      <c r="D82" s="10">
        <v>8.2491960506556952E-2</v>
      </c>
    </row>
    <row r="83" spans="1:4">
      <c r="A83" s="10">
        <v>59</v>
      </c>
      <c r="B83" s="10">
        <v>6.211233129051843E-4</v>
      </c>
      <c r="C83" s="10">
        <v>8.1718884531720506E-3</v>
      </c>
      <c r="D83" s="10">
        <v>0.5157120004436172</v>
      </c>
    </row>
    <row r="84" spans="1:4">
      <c r="A84" s="10">
        <v>60</v>
      </c>
      <c r="B84" s="10">
        <v>2.6302764325810551E-3</v>
      </c>
      <c r="C84" s="10">
        <v>2.2234381331702933E-2</v>
      </c>
      <c r="D84" s="10">
        <v>1.4031685993887759</v>
      </c>
    </row>
    <row r="85" spans="1:4">
      <c r="A85" s="10">
        <v>61</v>
      </c>
      <c r="B85" s="10">
        <v>-1.8362899934830433E-4</v>
      </c>
      <c r="C85" s="10">
        <v>-1.1096541402088586E-2</v>
      </c>
      <c r="D85" s="10">
        <v>-0.70028116478452396</v>
      </c>
    </row>
    <row r="86" spans="1:4">
      <c r="A86" s="10">
        <v>62</v>
      </c>
      <c r="B86" s="10">
        <v>-3.2687771140424747E-3</v>
      </c>
      <c r="C86" s="10">
        <v>4.9891229720586319E-3</v>
      </c>
      <c r="D86" s="10">
        <v>0.31485385576706321</v>
      </c>
    </row>
    <row r="87" spans="1:4">
      <c r="A87" s="10">
        <v>63</v>
      </c>
      <c r="B87" s="10">
        <v>-7.3203882833074276E-3</v>
      </c>
      <c r="C87" s="10">
        <v>3.5239676795899137E-3</v>
      </c>
      <c r="D87" s="10">
        <v>0.22239075238900644</v>
      </c>
    </row>
    <row r="88" spans="1:4">
      <c r="A88" s="10">
        <v>64</v>
      </c>
      <c r="B88" s="10">
        <v>1.3142354207617437E-2</v>
      </c>
      <c r="C88" s="10">
        <v>9.2173266348401228E-4</v>
      </c>
      <c r="D88" s="10">
        <v>5.8168757256475911E-2</v>
      </c>
    </row>
    <row r="89" spans="1:4">
      <c r="A89" s="10">
        <v>65</v>
      </c>
      <c r="B89" s="10">
        <v>-2.1326781673866816E-3</v>
      </c>
      <c r="C89" s="10">
        <v>-2.6096177391578051E-3</v>
      </c>
      <c r="D89" s="10">
        <v>-0.16468790443802778</v>
      </c>
    </row>
    <row r="90" spans="1:4">
      <c r="A90" s="10">
        <v>66</v>
      </c>
      <c r="B90" s="10">
        <v>-5.5828018472916618E-4</v>
      </c>
      <c r="C90" s="10">
        <v>-3.6672074294354789E-3</v>
      </c>
      <c r="D90" s="10">
        <v>-0.23143033465437934</v>
      </c>
    </row>
    <row r="91" spans="1:4">
      <c r="A91" s="10">
        <v>67</v>
      </c>
      <c r="B91" s="10">
        <v>1.1741631574072747E-2</v>
      </c>
      <c r="C91" s="10">
        <v>8.1211073233136595E-3</v>
      </c>
      <c r="D91" s="10">
        <v>0.51250730201752792</v>
      </c>
    </row>
    <row r="92" spans="1:4">
      <c r="A92" s="10">
        <v>68</v>
      </c>
      <c r="B92" s="10">
        <v>-2.3073471245622203E-3</v>
      </c>
      <c r="C92" s="10">
        <v>3.6352685244198874E-3</v>
      </c>
      <c r="D92" s="10">
        <v>0.22941473242339494</v>
      </c>
    </row>
    <row r="93" spans="1:4">
      <c r="A93" s="10">
        <v>69</v>
      </c>
      <c r="B93" s="10">
        <v>1.6095729029529243E-2</v>
      </c>
      <c r="C93" s="10">
        <v>-6.24064415186254E-4</v>
      </c>
      <c r="D93" s="10">
        <v>-3.9383492543446641E-2</v>
      </c>
    </row>
    <row r="94" spans="1:4">
      <c r="A94" s="10">
        <v>70</v>
      </c>
      <c r="B94" s="10">
        <v>9.7964616497924241E-3</v>
      </c>
      <c r="C94" s="10">
        <v>-4.3985686095512049E-3</v>
      </c>
      <c r="D94" s="10">
        <v>-0.27758511753053089</v>
      </c>
    </row>
    <row r="95" spans="1:4">
      <c r="A95" s="10">
        <v>71</v>
      </c>
      <c r="B95" s="10">
        <v>1.0739693032965031E-3</v>
      </c>
      <c r="C95" s="10">
        <v>-5.4903356589503047E-3</v>
      </c>
      <c r="D95" s="10">
        <v>-0.34648441446666112</v>
      </c>
    </row>
    <row r="96" spans="1:4">
      <c r="A96" s="10">
        <v>72</v>
      </c>
      <c r="B96" s="10">
        <v>2.4515311528256704E-3</v>
      </c>
      <c r="C96" s="10">
        <v>1.549503864996157E-3</v>
      </c>
      <c r="D96" s="10">
        <v>9.7786177881821423E-2</v>
      </c>
    </row>
    <row r="97" spans="1:4">
      <c r="A97" s="10">
        <v>73</v>
      </c>
      <c r="B97" s="10">
        <v>-8.1929849720461189E-4</v>
      </c>
      <c r="C97" s="10">
        <v>1.4257266354701682E-3</v>
      </c>
      <c r="D97" s="10">
        <v>8.997483745371776E-2</v>
      </c>
    </row>
    <row r="98" spans="1:4">
      <c r="A98" s="10">
        <v>74</v>
      </c>
      <c r="B98" s="10">
        <v>4.0157705779031343E-3</v>
      </c>
      <c r="C98" s="10">
        <v>6.200679638547142E-3</v>
      </c>
      <c r="D98" s="10">
        <v>0.39131284265926169</v>
      </c>
    </row>
    <row r="99" spans="1:4">
      <c r="A99" s="10">
        <v>75</v>
      </c>
      <c r="B99" s="10">
        <v>3.2952521258873668E-3</v>
      </c>
      <c r="C99" s="10">
        <v>8.7890468113768806E-3</v>
      </c>
      <c r="D99" s="10">
        <v>0.55465966515100407</v>
      </c>
    </row>
    <row r="100" spans="1:4">
      <c r="A100" s="10">
        <v>76</v>
      </c>
      <c r="B100" s="10">
        <v>3.1925353341748577E-5</v>
      </c>
      <c r="C100" s="10">
        <v>-1.2903430573817886E-2</v>
      </c>
      <c r="D100" s="10">
        <v>-0.81431042921614027</v>
      </c>
    </row>
    <row r="101" spans="1:4">
      <c r="A101" s="10">
        <v>77</v>
      </c>
      <c r="B101" s="10">
        <v>2.4902371527133356E-3</v>
      </c>
      <c r="C101" s="10">
        <v>-8.5809894903645014E-3</v>
      </c>
      <c r="D101" s="10">
        <v>-0.54152957192456208</v>
      </c>
    </row>
    <row r="102" spans="1:4">
      <c r="A102" s="10">
        <v>78</v>
      </c>
      <c r="B102" s="10">
        <v>7.1411507608574046E-3</v>
      </c>
      <c r="C102" s="10">
        <v>-5.5875516028528506E-3</v>
      </c>
      <c r="D102" s="10">
        <v>-0.3526195237736825</v>
      </c>
    </row>
    <row r="103" spans="1:4">
      <c r="A103" s="10">
        <v>79</v>
      </c>
      <c r="B103" s="10">
        <v>1.7678403413352343E-3</v>
      </c>
      <c r="C103" s="10">
        <v>5.2986883809455695E-3</v>
      </c>
      <c r="D103" s="10">
        <v>0.33438992716598931</v>
      </c>
    </row>
    <row r="104" spans="1:4">
      <c r="A104" s="10">
        <v>80</v>
      </c>
      <c r="B104" s="10">
        <v>3.5835192673188071E-4</v>
      </c>
      <c r="C104" s="10">
        <v>2.6511397971695751E-2</v>
      </c>
      <c r="D104" s="10">
        <v>1.6730828083235727</v>
      </c>
    </row>
    <row r="105" spans="1:4">
      <c r="A105" s="10">
        <v>81</v>
      </c>
      <c r="B105" s="10">
        <v>3.2177296683864646E-3</v>
      </c>
      <c r="C105" s="10">
        <v>-3.3843713350531612E-3</v>
      </c>
      <c r="D105" s="10">
        <v>-0.21358109835270833</v>
      </c>
    </row>
    <row r="106" spans="1:4">
      <c r="A106" s="10">
        <v>82</v>
      </c>
      <c r="B106" s="10">
        <v>-1.1504338046801146E-3</v>
      </c>
      <c r="C106" s="10">
        <v>2.6506921435635062E-3</v>
      </c>
      <c r="D106" s="10">
        <v>0.16728003028317096</v>
      </c>
    </row>
    <row r="107" spans="1:4">
      <c r="A107" s="10">
        <v>83</v>
      </c>
      <c r="B107" s="10">
        <v>-2.4273305181812788E-4</v>
      </c>
      <c r="C107" s="10">
        <v>1.7406690871731084E-3</v>
      </c>
      <c r="D107" s="10">
        <v>0.10985024357594582</v>
      </c>
    </row>
    <row r="108" spans="1:4">
      <c r="A108" s="10">
        <v>84</v>
      </c>
      <c r="B108" s="10">
        <v>8.0534279344500644E-3</v>
      </c>
      <c r="C108" s="10">
        <v>7.5499848431100428E-4</v>
      </c>
      <c r="D108" s="10">
        <v>4.7646487211262641E-2</v>
      </c>
    </row>
    <row r="109" spans="1:4">
      <c r="A109" s="10">
        <v>85</v>
      </c>
      <c r="B109" s="10">
        <v>8.0711956139772835E-4</v>
      </c>
      <c r="C109" s="10">
        <v>2.0774387496567584E-2</v>
      </c>
      <c r="D109" s="10">
        <v>1.3110312255531438</v>
      </c>
    </row>
    <row r="110" spans="1:4">
      <c r="A110" s="10">
        <v>86</v>
      </c>
      <c r="B110" s="10">
        <v>-2.2392214164067687E-2</v>
      </c>
      <c r="C110" s="10">
        <v>-4.2163657409939707E-3</v>
      </c>
      <c r="D110" s="10">
        <v>-0.26608664855745734</v>
      </c>
    </row>
    <row r="111" spans="1:4">
      <c r="A111" s="10">
        <v>87</v>
      </c>
      <c r="B111" s="10">
        <v>6.6081279993891826E-3</v>
      </c>
      <c r="C111" s="10">
        <v>-2.052163822417321E-3</v>
      </c>
      <c r="D111" s="10">
        <v>-0.12950807101216005</v>
      </c>
    </row>
    <row r="112" spans="1:4">
      <c r="A112" s="10">
        <v>88</v>
      </c>
      <c r="B112" s="10">
        <v>1.0694140811442826E-2</v>
      </c>
      <c r="C112" s="10">
        <v>5.3857144556434967E-3</v>
      </c>
      <c r="D112" s="10">
        <v>0.3398819736287384</v>
      </c>
    </row>
    <row r="113" spans="1:4">
      <c r="A113" s="10">
        <v>89</v>
      </c>
      <c r="B113" s="10">
        <v>8.5622334939074451E-3</v>
      </c>
      <c r="C113" s="10">
        <v>3.8545737417945234E-3</v>
      </c>
      <c r="D113" s="10">
        <v>0.24325465853204059</v>
      </c>
    </row>
    <row r="114" spans="1:4">
      <c r="A114" s="10">
        <v>90</v>
      </c>
      <c r="B114" s="10">
        <v>4.1558066945416722E-3</v>
      </c>
      <c r="C114" s="10">
        <v>-1.8744985051255044E-2</v>
      </c>
      <c r="D114" s="10">
        <v>-1.182959580819539</v>
      </c>
    </row>
    <row r="115" spans="1:4">
      <c r="A115" s="10">
        <v>91</v>
      </c>
      <c r="B115" s="10">
        <v>5.0195882685866574E-3</v>
      </c>
      <c r="C115" s="10">
        <v>-5.9957698353320706E-3</v>
      </c>
      <c r="D115" s="10">
        <v>-0.37838138316466552</v>
      </c>
    </row>
    <row r="116" spans="1:4">
      <c r="A116" s="10">
        <v>92</v>
      </c>
      <c r="B116" s="10">
        <v>7.6096821342132911E-3</v>
      </c>
      <c r="C116" s="10">
        <v>-9.3270946623873457E-4</v>
      </c>
      <c r="D116" s="10">
        <v>-5.8861481947904547E-2</v>
      </c>
    </row>
    <row r="117" spans="1:4">
      <c r="A117" s="10">
        <v>93</v>
      </c>
      <c r="B117" s="10">
        <v>2.1300674208449347E-3</v>
      </c>
      <c r="C117" s="10">
        <v>7.8185532230612203E-4</v>
      </c>
      <c r="D117" s="10">
        <v>4.9341370068195924E-2</v>
      </c>
    </row>
    <row r="118" spans="1:4">
      <c r="A118" s="10">
        <v>94</v>
      </c>
      <c r="B118" s="10">
        <v>1.2043962505412019E-4</v>
      </c>
      <c r="C118" s="10">
        <v>-7.6560456811669878E-4</v>
      </c>
      <c r="D118" s="10">
        <v>-4.8315816550209285E-2</v>
      </c>
    </row>
    <row r="119" spans="1:4">
      <c r="A119" s="10">
        <v>95</v>
      </c>
      <c r="B119" s="10">
        <v>1.1081021087275768E-3</v>
      </c>
      <c r="C119" s="10">
        <v>-1.2810183887370765E-2</v>
      </c>
      <c r="D119" s="10">
        <v>-0.80842581203396169</v>
      </c>
    </row>
    <row r="120" spans="1:4">
      <c r="A120" s="10">
        <v>96</v>
      </c>
      <c r="B120" s="10">
        <v>1.1760000370983749E-2</v>
      </c>
      <c r="C120" s="10">
        <v>5.7057297811451656E-4</v>
      </c>
      <c r="D120" s="10">
        <v>3.6007751895865775E-2</v>
      </c>
    </row>
    <row r="121" spans="1:4">
      <c r="A121" s="10">
        <v>97</v>
      </c>
      <c r="B121" s="10">
        <v>6.6358649100820948E-3</v>
      </c>
      <c r="C121" s="10">
        <v>-5.3452623553559182E-3</v>
      </c>
      <c r="D121" s="10">
        <v>-0.33732912018721162</v>
      </c>
    </row>
    <row r="122" spans="1:4">
      <c r="A122" s="10">
        <v>98</v>
      </c>
      <c r="B122" s="10">
        <v>1.03143678880884E-4</v>
      </c>
      <c r="C122" s="10">
        <v>9.8864320076471196E-3</v>
      </c>
      <c r="D122" s="10">
        <v>0.62391351241883597</v>
      </c>
    </row>
    <row r="123" spans="1:4">
      <c r="A123" s="10">
        <v>99</v>
      </c>
      <c r="B123" s="10">
        <v>-1.9677617973772911E-3</v>
      </c>
      <c r="C123" s="10">
        <v>-4.0145304739246405E-3</v>
      </c>
      <c r="D123" s="10">
        <v>-0.25334921706449659</v>
      </c>
    </row>
    <row r="124" spans="1:4">
      <c r="A124" s="10">
        <v>100</v>
      </c>
      <c r="B124" s="10">
        <v>3.7982078887010941E-3</v>
      </c>
      <c r="C124" s="10">
        <v>4.3866418580928148E-3</v>
      </c>
      <c r="D124" s="10">
        <v>0.27683244342237995</v>
      </c>
    </row>
    <row r="125" spans="1:4">
      <c r="A125" s="10">
        <v>101</v>
      </c>
      <c r="B125" s="10">
        <v>2.0725768441398071E-3</v>
      </c>
      <c r="C125" s="10">
        <v>0.13084685273974622</v>
      </c>
      <c r="D125" s="10">
        <v>8.2574906112396516</v>
      </c>
    </row>
    <row r="126" spans="1:4">
      <c r="A126" s="10">
        <v>102</v>
      </c>
      <c r="B126" s="10">
        <v>6.1733147322855252E-4</v>
      </c>
      <c r="C126" s="10">
        <v>-2.0991042878981441E-2</v>
      </c>
      <c r="D126" s="10">
        <v>-1.3247039257266462</v>
      </c>
    </row>
    <row r="127" spans="1:4">
      <c r="A127" s="10">
        <v>103</v>
      </c>
      <c r="B127" s="10">
        <v>4.2000718219592005E-4</v>
      </c>
      <c r="C127" s="10">
        <v>-3.0017627389692571E-3</v>
      </c>
      <c r="D127" s="10">
        <v>-0.18943541334929118</v>
      </c>
    </row>
    <row r="128" spans="1:4">
      <c r="A128" s="10">
        <v>104</v>
      </c>
      <c r="B128" s="10">
        <v>7.7019380885175372E-3</v>
      </c>
      <c r="C128" s="10">
        <v>-2.5533372977337855E-2</v>
      </c>
      <c r="D128" s="10">
        <v>-1.6113615514544357</v>
      </c>
    </row>
    <row r="129" spans="1:4">
      <c r="A129" s="10">
        <v>105</v>
      </c>
      <c r="B129" s="10">
        <v>3.9736972242016759E-4</v>
      </c>
      <c r="C129" s="10">
        <v>1.1501678508836759E-4</v>
      </c>
      <c r="D129" s="10">
        <v>7.2584858031794807E-3</v>
      </c>
    </row>
    <row r="130" spans="1:4">
      <c r="A130" s="10">
        <v>106</v>
      </c>
      <c r="B130" s="10">
        <v>-1.2522814193437805E-3</v>
      </c>
      <c r="C130" s="10">
        <v>-1.0381552072041689E-2</v>
      </c>
      <c r="D130" s="10">
        <v>-0.65515957755199161</v>
      </c>
    </row>
    <row r="131" spans="1:4">
      <c r="A131" s="10">
        <v>107</v>
      </c>
      <c r="B131" s="10">
        <v>2.0943747120073441E-3</v>
      </c>
      <c r="C131" s="10">
        <v>-3.6490608009224056E-3</v>
      </c>
      <c r="D131" s="10">
        <v>-0.23028513619194174</v>
      </c>
    </row>
    <row r="132" spans="1:4">
      <c r="A132" s="10">
        <v>108</v>
      </c>
      <c r="B132" s="10">
        <v>1.2789389755132384E-2</v>
      </c>
      <c r="C132" s="10">
        <v>2.1317573769260183E-2</v>
      </c>
      <c r="D132" s="10">
        <v>1.3453106556884238</v>
      </c>
    </row>
    <row r="133" spans="1:4">
      <c r="A133" s="10">
        <v>109</v>
      </c>
      <c r="B133" s="10">
        <v>-7.1638053150824077E-3</v>
      </c>
      <c r="C133" s="10">
        <v>-6.5146673040918871E-4</v>
      </c>
      <c r="D133" s="10">
        <v>-4.1112799408241252E-2</v>
      </c>
    </row>
    <row r="134" spans="1:4">
      <c r="A134" s="10">
        <v>110</v>
      </c>
      <c r="B134" s="10">
        <v>9.4539305256868659E-4</v>
      </c>
      <c r="C134" s="10">
        <v>3.4536525017892415E-2</v>
      </c>
      <c r="D134" s="10">
        <v>2.1795329815637339</v>
      </c>
    </row>
    <row r="135" spans="1:4">
      <c r="A135" s="10">
        <v>111</v>
      </c>
      <c r="B135" s="10">
        <v>1.1136551866698162E-3</v>
      </c>
      <c r="C135" s="10">
        <v>-8.23200992062538E-3</v>
      </c>
      <c r="D135" s="10">
        <v>-0.51950614942492479</v>
      </c>
    </row>
    <row r="136" spans="1:4">
      <c r="A136" s="10">
        <v>112</v>
      </c>
      <c r="B136" s="10">
        <v>3.7884701226334029E-3</v>
      </c>
      <c r="C136" s="10">
        <v>1.412844133321798E-3</v>
      </c>
      <c r="D136" s="10">
        <v>8.9161847776762934E-2</v>
      </c>
    </row>
    <row r="137" spans="1:4">
      <c r="A137" s="10">
        <v>113</v>
      </c>
      <c r="B137" s="10">
        <v>2.1370327721666584E-3</v>
      </c>
      <c r="C137" s="10">
        <v>-4.0949308897073496E-3</v>
      </c>
      <c r="D137" s="10">
        <v>-0.25842313106826698</v>
      </c>
    </row>
    <row r="138" spans="1:4">
      <c r="A138" s="10">
        <v>114</v>
      </c>
      <c r="B138" s="10">
        <v>-8.9890894636050923E-3</v>
      </c>
      <c r="C138" s="10">
        <v>5.8162758712611978E-4</v>
      </c>
      <c r="D138" s="10">
        <v>3.670538678897093E-2</v>
      </c>
    </row>
    <row r="139" spans="1:4">
      <c r="A139" s="10">
        <v>115</v>
      </c>
      <c r="B139" s="10">
        <v>1.3400614050297259E-2</v>
      </c>
      <c r="C139" s="10">
        <v>3.6982202399509344E-3</v>
      </c>
      <c r="D139" s="10">
        <v>0.23338749286107222</v>
      </c>
    </row>
    <row r="140" spans="1:4">
      <c r="A140" s="10">
        <v>116</v>
      </c>
      <c r="B140" s="10">
        <v>-9.6883308727122083E-3</v>
      </c>
      <c r="C140" s="10">
        <v>-1.2124792193903689E-2</v>
      </c>
      <c r="D140" s="10">
        <v>-0.76517207413104882</v>
      </c>
    </row>
    <row r="141" spans="1:4">
      <c r="A141" s="10">
        <v>117</v>
      </c>
      <c r="B141" s="10">
        <v>3.7517522146762192E-3</v>
      </c>
      <c r="C141" s="10">
        <v>-3.1126214620432629E-3</v>
      </c>
      <c r="D141" s="10">
        <v>-0.19643149193880358</v>
      </c>
    </row>
    <row r="142" spans="1:4">
      <c r="A142" s="10">
        <v>118</v>
      </c>
      <c r="B142" s="10">
        <v>4.7831125802982018E-3</v>
      </c>
      <c r="C142" s="10">
        <v>-4.1442835963877833E-3</v>
      </c>
      <c r="D142" s="10">
        <v>-0.26153768448334624</v>
      </c>
    </row>
    <row r="143" spans="1:4">
      <c r="A143" s="10">
        <v>119</v>
      </c>
      <c r="B143" s="10">
        <v>3.6457078994557432E-3</v>
      </c>
      <c r="C143" s="10">
        <v>2.3873902444554049E-2</v>
      </c>
      <c r="D143" s="10">
        <v>1.5066355908587576</v>
      </c>
    </row>
    <row r="144" spans="1:4">
      <c r="A144" s="10">
        <v>120</v>
      </c>
      <c r="B144" s="10">
        <v>-1.0708017491641984E-2</v>
      </c>
      <c r="C144" s="10">
        <v>-7.7222861747590042E-3</v>
      </c>
      <c r="D144" s="10">
        <v>-0.48733847433235489</v>
      </c>
    </row>
    <row r="145" spans="1:4">
      <c r="A145" s="10">
        <v>121</v>
      </c>
      <c r="B145" s="10">
        <v>1.0210859121041775E-2</v>
      </c>
      <c r="C145" s="10">
        <v>-8.5934469912792126E-3</v>
      </c>
      <c r="D145" s="10">
        <v>-0.54231574059953469</v>
      </c>
    </row>
    <row r="146" spans="1:4">
      <c r="A146" s="10">
        <v>122</v>
      </c>
      <c r="B146" s="10">
        <v>2.9487024241807002E-3</v>
      </c>
      <c r="C146" s="10">
        <v>6.7403031773291683E-3</v>
      </c>
      <c r="D146" s="10">
        <v>0.42536743558064694</v>
      </c>
    </row>
    <row r="147" spans="1:4">
      <c r="A147" s="10">
        <v>123</v>
      </c>
      <c r="B147" s="10">
        <v>6.8007787163774426E-4</v>
      </c>
      <c r="C147" s="10">
        <v>1.3227161039526137E-2</v>
      </c>
      <c r="D147" s="10">
        <v>0.83474042982513552</v>
      </c>
    </row>
    <row r="148" spans="1:4">
      <c r="A148" s="10">
        <v>124</v>
      </c>
      <c r="B148" s="10">
        <v>1.1407852065693447E-2</v>
      </c>
      <c r="C148" s="10">
        <v>1.0469948110944594E-2</v>
      </c>
      <c r="D148" s="10">
        <v>0.66073807979356503</v>
      </c>
    </row>
    <row r="149" spans="1:4">
      <c r="A149" s="10">
        <v>125</v>
      </c>
      <c r="B149" s="10">
        <v>4.2044996264584446E-3</v>
      </c>
      <c r="C149" s="10">
        <v>-7.1453989491481948E-4</v>
      </c>
      <c r="D149" s="10">
        <v>-4.5093224254701567E-2</v>
      </c>
    </row>
    <row r="150" spans="1:4">
      <c r="A150" s="10">
        <v>126</v>
      </c>
      <c r="B150" s="10">
        <v>7.9168018181626585E-3</v>
      </c>
      <c r="C150" s="10">
        <v>7.5326225946403761E-3</v>
      </c>
      <c r="D150" s="10">
        <v>0.47536917435049958</v>
      </c>
    </row>
    <row r="151" spans="1:4">
      <c r="A151" s="10">
        <v>127</v>
      </c>
      <c r="B151" s="10">
        <v>1.6479941942958026E-3</v>
      </c>
      <c r="C151" s="10">
        <v>-5.5998218442750705E-3</v>
      </c>
      <c r="D151" s="10">
        <v>-0.35339387486597168</v>
      </c>
    </row>
    <row r="152" spans="1:4">
      <c r="A152" s="10">
        <v>128</v>
      </c>
      <c r="B152" s="10">
        <v>2.5111325390883934E-3</v>
      </c>
      <c r="C152" s="10">
        <v>1.4152254795789273E-2</v>
      </c>
      <c r="D152" s="10">
        <v>0.89312129911553495</v>
      </c>
    </row>
    <row r="153" spans="1:4">
      <c r="A153" s="10">
        <v>129</v>
      </c>
      <c r="B153" s="10">
        <v>8.8440900427783093E-3</v>
      </c>
      <c r="C153" s="10">
        <v>-1.2746568091558847E-2</v>
      </c>
      <c r="D153" s="10">
        <v>-0.80441114278021753</v>
      </c>
    </row>
    <row r="154" spans="1:4">
      <c r="A154" s="10">
        <v>130</v>
      </c>
      <c r="B154" s="10">
        <v>1.5143707344822187E-3</v>
      </c>
      <c r="C154" s="10">
        <v>-8.3050533381000893E-3</v>
      </c>
      <c r="D154" s="10">
        <v>-0.52411577756179673</v>
      </c>
    </row>
    <row r="155" spans="1:4">
      <c r="A155" s="10">
        <v>131</v>
      </c>
      <c r="B155" s="10">
        <v>1.2302536218525223E-3</v>
      </c>
      <c r="C155" s="10">
        <v>-2.6765885015690915E-3</v>
      </c>
      <c r="D155" s="10">
        <v>-0.16891429911439568</v>
      </c>
    </row>
    <row r="156" spans="1:4">
      <c r="A156" s="10">
        <v>132</v>
      </c>
      <c r="B156" s="10">
        <v>3.0730637360848511E-4</v>
      </c>
      <c r="C156" s="10">
        <v>2.1286407093855353E-3</v>
      </c>
      <c r="D156" s="10">
        <v>0.13433437873675569</v>
      </c>
    </row>
    <row r="157" spans="1:4">
      <c r="A157" s="10">
        <v>133</v>
      </c>
      <c r="B157" s="10">
        <v>5.595277182374344E-3</v>
      </c>
      <c r="C157" s="10">
        <v>-4.4130428075473309E-3</v>
      </c>
      <c r="D157" s="10">
        <v>-0.27849855603941087</v>
      </c>
    </row>
    <row r="158" spans="1:4">
      <c r="A158" s="10">
        <v>134</v>
      </c>
      <c r="B158" s="10">
        <v>2.0930810331608062E-3</v>
      </c>
      <c r="C158" s="10">
        <v>1.988271899339664E-2</v>
      </c>
      <c r="D158" s="10">
        <v>1.254759759032531</v>
      </c>
    </row>
    <row r="159" spans="1:4">
      <c r="A159" s="10">
        <v>135</v>
      </c>
      <c r="B159" s="10">
        <v>4.2806470121810303E-4</v>
      </c>
      <c r="C159" s="10">
        <v>-1.0955050218189127E-2</v>
      </c>
      <c r="D159" s="10">
        <v>-0.69135193111814897</v>
      </c>
    </row>
    <row r="160" spans="1:4">
      <c r="A160" s="10">
        <v>136</v>
      </c>
      <c r="B160" s="10">
        <v>-6.0593070782393246E-5</v>
      </c>
      <c r="C160" s="10">
        <v>2.2181930292501748E-2</v>
      </c>
      <c r="D160" s="10">
        <v>1.3998585162290762</v>
      </c>
    </row>
    <row r="161" spans="1:4">
      <c r="A161" s="10">
        <v>137</v>
      </c>
      <c r="B161" s="10">
        <v>7.5240978111451801E-4</v>
      </c>
      <c r="C161" s="10">
        <v>-1.7317534388440366E-2</v>
      </c>
      <c r="D161" s="10">
        <v>-1.0928759433502859</v>
      </c>
    </row>
    <row r="162" spans="1:4">
      <c r="A162" s="10">
        <v>138</v>
      </c>
      <c r="B162" s="10">
        <v>4.9665194683286423E-3</v>
      </c>
      <c r="C162" s="10">
        <v>-6.3863387923651337E-3</v>
      </c>
      <c r="D162" s="10">
        <v>-0.40302943107879402</v>
      </c>
    </row>
    <row r="163" spans="1:4">
      <c r="A163" s="10">
        <v>139</v>
      </c>
      <c r="B163" s="10">
        <v>2.3715908159544566E-3</v>
      </c>
      <c r="C163" s="10">
        <v>-2.0596835260477116E-2</v>
      </c>
      <c r="D163" s="10">
        <v>-1.2998262489578123</v>
      </c>
    </row>
    <row r="164" spans="1:4">
      <c r="A164" s="10">
        <v>140</v>
      </c>
      <c r="B164" s="10">
        <v>-1.1780808615535468E-3</v>
      </c>
      <c r="C164" s="10">
        <v>1.045991196465863E-2</v>
      </c>
      <c r="D164" s="10">
        <v>0.66010471810397053</v>
      </c>
    </row>
    <row r="165" spans="1:4">
      <c r="A165" s="10">
        <v>141</v>
      </c>
      <c r="B165" s="10">
        <v>4.2237570189358623E-3</v>
      </c>
      <c r="C165" s="10">
        <v>-4.1585665705685887E-3</v>
      </c>
      <c r="D165" s="10">
        <v>-0.26243905522883265</v>
      </c>
    </row>
    <row r="166" spans="1:4">
      <c r="A166" s="10">
        <v>142</v>
      </c>
      <c r="B166" s="10">
        <v>3.9029118222277228E-3</v>
      </c>
      <c r="C166" s="10">
        <v>3.2032612394357139E-2</v>
      </c>
      <c r="D166" s="10">
        <v>2.0215159215635863</v>
      </c>
    </row>
    <row r="167" spans="1:4">
      <c r="A167" s="10">
        <v>143</v>
      </c>
      <c r="B167" s="10">
        <v>-1.4841704319236975E-3</v>
      </c>
      <c r="C167" s="10">
        <v>-6.951966773720738E-3</v>
      </c>
      <c r="D167" s="10">
        <v>-0.43872511383845714</v>
      </c>
    </row>
    <row r="168" spans="1:4">
      <c r="A168" s="10">
        <v>144</v>
      </c>
      <c r="B168" s="10">
        <v>1.2359078795669866E-3</v>
      </c>
      <c r="C168" s="10">
        <v>-1.2993681970273265E-3</v>
      </c>
      <c r="D168" s="10">
        <v>-8.2000601946746923E-2</v>
      </c>
    </row>
    <row r="169" spans="1:4">
      <c r="A169" s="10">
        <v>145</v>
      </c>
      <c r="B169" s="10">
        <v>-1.7479773596248215E-2</v>
      </c>
      <c r="C169" s="10">
        <v>-1.8839997934649869E-2</v>
      </c>
      <c r="D169" s="10">
        <v>-1.1889556592589652</v>
      </c>
    </row>
    <row r="170" spans="1:4">
      <c r="A170" s="10">
        <v>146</v>
      </c>
      <c r="B170" s="10">
        <v>3.4100062364702706E-3</v>
      </c>
      <c r="C170" s="10">
        <v>-3.8712765675958066E-3</v>
      </c>
      <c r="D170" s="10">
        <v>-0.24430874141097383</v>
      </c>
    </row>
    <row r="171" spans="1:4">
      <c r="A171" s="10">
        <v>147</v>
      </c>
      <c r="B171" s="10">
        <v>1.5039550166792487E-2</v>
      </c>
      <c r="C171" s="10">
        <v>4.1430738117697197E-3</v>
      </c>
      <c r="D171" s="10">
        <v>0.26146133732698662</v>
      </c>
    </row>
    <row r="172" spans="1:4">
      <c r="A172" s="10">
        <v>148</v>
      </c>
      <c r="B172" s="10">
        <v>1.0565880679875663E-3</v>
      </c>
      <c r="C172" s="10">
        <v>1.925257032856395E-2</v>
      </c>
      <c r="D172" s="10">
        <v>1.2149923013169772</v>
      </c>
    </row>
    <row r="173" spans="1:4">
      <c r="A173" s="10">
        <v>149</v>
      </c>
      <c r="B173" s="10">
        <v>3.6017054534554236E-3</v>
      </c>
      <c r="C173" s="10">
        <v>7.4917969237236577E-3</v>
      </c>
      <c r="D173" s="10">
        <v>0.4727927455925004</v>
      </c>
    </row>
    <row r="174" spans="1:4">
      <c r="A174" s="10">
        <v>150</v>
      </c>
      <c r="B174" s="10">
        <v>-1.8756383586551045E-2</v>
      </c>
      <c r="C174" s="10">
        <v>4.6467969793447549E-2</v>
      </c>
      <c r="D174" s="10">
        <v>2.9325032758407716</v>
      </c>
    </row>
    <row r="175" spans="1:4">
      <c r="A175" s="10">
        <v>151</v>
      </c>
      <c r="B175" s="10">
        <v>-7.1613622062329809E-4</v>
      </c>
      <c r="C175" s="10">
        <v>2.2556070601296042E-2</v>
      </c>
      <c r="D175" s="10">
        <v>1.4234697840774524</v>
      </c>
    </row>
    <row r="176" spans="1:4">
      <c r="A176" s="10">
        <v>152</v>
      </c>
      <c r="B176" s="10">
        <v>3.2602380572337611E-3</v>
      </c>
      <c r="C176" s="10">
        <v>7.1875231367960896E-3</v>
      </c>
      <c r="D176" s="10">
        <v>0.45359061817260632</v>
      </c>
    </row>
    <row r="177" spans="1:4">
      <c r="A177" s="10">
        <v>153</v>
      </c>
      <c r="B177" s="10">
        <v>1.4902971195496027E-2</v>
      </c>
      <c r="C177" s="10">
        <v>1.5879935746896827E-2</v>
      </c>
      <c r="D177" s="10">
        <v>1.0021518866632833</v>
      </c>
    </row>
    <row r="178" spans="1:4">
      <c r="A178" s="10">
        <v>154</v>
      </c>
      <c r="B178" s="10">
        <v>-2.8624441133617675E-3</v>
      </c>
      <c r="C178" s="10">
        <v>1.0543264623703794E-2</v>
      </c>
      <c r="D178" s="10">
        <v>0.66536494244315503</v>
      </c>
    </row>
    <row r="179" spans="1:4">
      <c r="A179" s="10">
        <v>155</v>
      </c>
      <c r="B179" s="10">
        <v>-1.0332555583618117E-3</v>
      </c>
      <c r="C179" s="10">
        <v>-3.5173871398638742E-3</v>
      </c>
      <c r="D179" s="10">
        <v>-0.22197546731438</v>
      </c>
    </row>
    <row r="180" spans="1:4">
      <c r="A180" s="10">
        <v>156</v>
      </c>
      <c r="B180" s="10">
        <v>3.9369581704333731E-3</v>
      </c>
      <c r="C180" s="10">
        <v>-2.2565501027576252E-2</v>
      </c>
      <c r="D180" s="10">
        <v>-1.4240649199545354</v>
      </c>
    </row>
    <row r="181" spans="1:4">
      <c r="A181" s="10">
        <v>157</v>
      </c>
      <c r="B181" s="10">
        <v>2.3641944509496973E-3</v>
      </c>
      <c r="C181" s="10">
        <v>-2.2394483841007611E-2</v>
      </c>
      <c r="D181" s="10">
        <v>-1.4132723576354402</v>
      </c>
    </row>
    <row r="182" spans="1:4">
      <c r="A182" s="10">
        <v>158</v>
      </c>
      <c r="B182" s="10">
        <v>2.8360378779289756E-3</v>
      </c>
      <c r="C182" s="10">
        <v>-8.1242077183063255E-3</v>
      </c>
      <c r="D182" s="10">
        <v>-0.51270296192074316</v>
      </c>
    </row>
    <row r="183" spans="1:4">
      <c r="A183" s="10">
        <v>159</v>
      </c>
      <c r="B183" s="10">
        <v>7.8394043614105902E-3</v>
      </c>
      <c r="C183" s="10">
        <v>1.5098269064605301E-2</v>
      </c>
      <c r="D183" s="10">
        <v>0.95282242129983796</v>
      </c>
    </row>
    <row r="184" spans="1:4">
      <c r="A184" s="10">
        <v>160</v>
      </c>
      <c r="B184" s="10">
        <v>9.3061007484115579E-3</v>
      </c>
      <c r="C184" s="10">
        <v>-6.4447576827181483E-3</v>
      </c>
      <c r="D184" s="10">
        <v>-0.40671613372779497</v>
      </c>
    </row>
    <row r="185" spans="1:4">
      <c r="A185" s="10">
        <v>161</v>
      </c>
      <c r="B185" s="10">
        <v>4.3476861998361536E-3</v>
      </c>
      <c r="C185" s="10">
        <v>-8.4236846837070882E-3</v>
      </c>
      <c r="D185" s="10">
        <v>-0.53160237125539467</v>
      </c>
    </row>
    <row r="186" spans="1:4">
      <c r="A186" s="10">
        <v>162</v>
      </c>
      <c r="B186" s="10">
        <v>-8.2967193226669723E-3</v>
      </c>
      <c r="C186" s="10">
        <v>1.7485724223100648E-3</v>
      </c>
      <c r="D186" s="10">
        <v>0.11034900769846318</v>
      </c>
    </row>
    <row r="187" spans="1:4">
      <c r="A187" s="10">
        <v>163</v>
      </c>
      <c r="B187" s="10">
        <v>5.8679115648148667E-3</v>
      </c>
      <c r="C187" s="10">
        <v>-1.6343423693763948E-2</v>
      </c>
      <c r="D187" s="10">
        <v>-1.0314017103276734</v>
      </c>
    </row>
    <row r="188" spans="1:4">
      <c r="A188" s="10">
        <v>164</v>
      </c>
      <c r="B188" s="10">
        <v>1.4815086049389417E-3</v>
      </c>
      <c r="C188" s="10">
        <v>1.2435447585836408E-2</v>
      </c>
      <c r="D188" s="10">
        <v>0.78477693224190936</v>
      </c>
    </row>
    <row r="189" spans="1:4">
      <c r="A189" s="10">
        <v>165</v>
      </c>
      <c r="B189" s="10">
        <v>-2.565393361382872E-4</v>
      </c>
      <c r="C189" s="10">
        <v>-8.4248076531002608E-3</v>
      </c>
      <c r="D189" s="10">
        <v>-0.53167323967161306</v>
      </c>
    </row>
    <row r="190" spans="1:4">
      <c r="A190" s="10">
        <v>166</v>
      </c>
      <c r="B190" s="10">
        <v>1.6094707763213922E-2</v>
      </c>
      <c r="C190" s="10">
        <v>1.384610880483346E-2</v>
      </c>
      <c r="D190" s="10">
        <v>0.87380102053753617</v>
      </c>
    </row>
    <row r="191" spans="1:4">
      <c r="A191" s="10">
        <v>167</v>
      </c>
      <c r="B191" s="10">
        <v>6.1798937421046691E-3</v>
      </c>
      <c r="C191" s="10">
        <v>1.001538030633832E-3</v>
      </c>
      <c r="D191" s="10">
        <v>6.3205118897339388E-2</v>
      </c>
    </row>
    <row r="192" spans="1:4">
      <c r="A192" s="10">
        <v>168</v>
      </c>
      <c r="B192" s="10">
        <v>2.722369612898178E-3</v>
      </c>
      <c r="C192" s="10">
        <v>1.8154950800966574E-2</v>
      </c>
      <c r="D192" s="10">
        <v>1.1457236658544487</v>
      </c>
    </row>
    <row r="193" spans="1:4">
      <c r="A193" s="10">
        <v>169</v>
      </c>
      <c r="B193" s="10">
        <v>2.582548601328062E-4</v>
      </c>
      <c r="C193" s="10">
        <v>-1.0706905413584995E-2</v>
      </c>
      <c r="D193" s="10">
        <v>-0.67569199470132069</v>
      </c>
    </row>
    <row r="194" spans="1:4">
      <c r="A194" s="10">
        <v>170</v>
      </c>
      <c r="B194" s="10">
        <v>4.1681542384783979E-3</v>
      </c>
      <c r="C194" s="10">
        <v>-6.4268159349664903E-3</v>
      </c>
      <c r="D194" s="10">
        <v>-0.40558386489208037</v>
      </c>
    </row>
    <row r="195" spans="1:4">
      <c r="A195" s="10">
        <v>171</v>
      </c>
      <c r="B195" s="10">
        <v>3.6492120281614243E-3</v>
      </c>
      <c r="C195" s="10">
        <v>1.491331799836712E-2</v>
      </c>
      <c r="D195" s="10">
        <v>0.94115051891149248</v>
      </c>
    </row>
    <row r="196" spans="1:4">
      <c r="A196" s="10">
        <v>172</v>
      </c>
      <c r="B196" s="10">
        <v>3.1906644570060582E-3</v>
      </c>
      <c r="C196" s="10">
        <v>-2.6905477662600265E-3</v>
      </c>
      <c r="D196" s="10">
        <v>-0.1697952411830175</v>
      </c>
    </row>
    <row r="197" spans="1:4">
      <c r="A197" s="10">
        <v>173</v>
      </c>
      <c r="B197" s="10">
        <v>2.5595316151543618E-3</v>
      </c>
      <c r="C197" s="10">
        <v>-1.433278600282153E-2</v>
      </c>
      <c r="D197" s="10">
        <v>-0.9045142727781853</v>
      </c>
    </row>
    <row r="198" spans="1:4">
      <c r="A198" s="10">
        <v>174</v>
      </c>
      <c r="B198" s="10">
        <v>-2.3217303133355547E-3</v>
      </c>
      <c r="C198" s="10">
        <v>-8.2520989144572055E-4</v>
      </c>
      <c r="D198" s="10">
        <v>-5.2077392678817176E-2</v>
      </c>
    </row>
    <row r="199" spans="1:4">
      <c r="A199" s="10">
        <v>175</v>
      </c>
      <c r="B199" s="10">
        <v>2.577365299220564E-3</v>
      </c>
      <c r="C199" s="10">
        <v>1.6506069891157136E-3</v>
      </c>
      <c r="D199" s="10">
        <v>0.10416659957866395</v>
      </c>
    </row>
    <row r="200" spans="1:4">
      <c r="A200" s="10">
        <v>176</v>
      </c>
      <c r="B200" s="10">
        <v>-1.2290072685383687E-3</v>
      </c>
      <c r="C200" s="10">
        <v>-4.6766968076672986E-2</v>
      </c>
      <c r="D200" s="10">
        <v>-2.9513724764735265</v>
      </c>
    </row>
    <row r="201" spans="1:4">
      <c r="A201" s="10">
        <v>177</v>
      </c>
      <c r="B201" s="10">
        <v>1.8138916480387789E-3</v>
      </c>
      <c r="C201" s="10">
        <v>-1.696804024534173E-2</v>
      </c>
      <c r="D201" s="10">
        <v>-1.0708200471258627</v>
      </c>
    </row>
    <row r="202" spans="1:4">
      <c r="A202" s="10">
        <v>178</v>
      </c>
      <c r="B202" s="10">
        <v>7.1364405409914469E-3</v>
      </c>
      <c r="C202" s="10">
        <v>1.6633173307179675E-2</v>
      </c>
      <c r="D202" s="10">
        <v>1.0496872453810044</v>
      </c>
    </row>
    <row r="203" spans="1:4">
      <c r="A203" s="10">
        <v>179</v>
      </c>
      <c r="B203" s="10">
        <v>3.315897490059427E-3</v>
      </c>
      <c r="C203" s="10">
        <v>-7.702118778256945E-3</v>
      </c>
      <c r="D203" s="10">
        <v>-0.48606574912894374</v>
      </c>
    </row>
    <row r="204" spans="1:4">
      <c r="A204" s="10">
        <v>180</v>
      </c>
      <c r="B204" s="10">
        <v>6.6323882645553502E-3</v>
      </c>
      <c r="C204" s="10">
        <v>7.876551628861559E-3</v>
      </c>
      <c r="D204" s="10">
        <v>0.49707386736793779</v>
      </c>
    </row>
    <row r="205" spans="1:4">
      <c r="A205" s="10">
        <v>181</v>
      </c>
      <c r="B205" s="10">
        <v>6.8563978946697812E-3</v>
      </c>
      <c r="C205" s="10">
        <v>-1.6453854256585276E-3</v>
      </c>
      <c r="D205" s="10">
        <v>-0.10383707685556517</v>
      </c>
    </row>
    <row r="206" spans="1:4">
      <c r="A206" s="10">
        <v>182</v>
      </c>
      <c r="B206" s="10">
        <v>4.5815152937554353E-3</v>
      </c>
      <c r="C206" s="10">
        <v>2.3930649739870687E-2</v>
      </c>
      <c r="D206" s="10">
        <v>1.5102168023933018</v>
      </c>
    </row>
    <row r="207" spans="1:4">
      <c r="A207" s="10">
        <v>183</v>
      </c>
      <c r="B207" s="10">
        <v>3.3717419247890189E-3</v>
      </c>
      <c r="C207" s="10">
        <v>-2.5316377487126789E-3</v>
      </c>
      <c r="D207" s="10">
        <v>-0.15976673877387582</v>
      </c>
    </row>
    <row r="208" spans="1:4">
      <c r="A208" s="10">
        <v>184</v>
      </c>
      <c r="B208" s="10">
        <v>9.2077017153611076E-3</v>
      </c>
      <c r="C208" s="10">
        <v>-8.2005281215511167E-3</v>
      </c>
      <c r="D208" s="10">
        <v>-0.51751939426163696</v>
      </c>
    </row>
    <row r="209" spans="1:4">
      <c r="A209" s="10">
        <v>185</v>
      </c>
      <c r="B209" s="10">
        <v>2.9417636979388231E-4</v>
      </c>
      <c r="C209" s="10">
        <v>1.4387209510899272E-3</v>
      </c>
      <c r="D209" s="10">
        <v>9.0794883461572939E-2</v>
      </c>
    </row>
    <row r="210" spans="1:4">
      <c r="A210" s="10">
        <v>186</v>
      </c>
      <c r="B210" s="10">
        <v>-6.7510834466595377E-4</v>
      </c>
      <c r="C210" s="10">
        <v>1.6802335177153106E-2</v>
      </c>
      <c r="D210" s="10">
        <v>1.0603627222750776</v>
      </c>
    </row>
    <row r="211" spans="1:4">
      <c r="A211" s="10">
        <v>187</v>
      </c>
      <c r="B211" s="10">
        <v>4.7984697013136882E-3</v>
      </c>
      <c r="C211" s="10">
        <v>8.5806839867053671E-4</v>
      </c>
      <c r="D211" s="10">
        <v>5.4151029218229715E-2</v>
      </c>
    </row>
    <row r="212" spans="1:4">
      <c r="A212" s="10">
        <v>188</v>
      </c>
      <c r="B212" s="10">
        <v>4.1102274701541978E-3</v>
      </c>
      <c r="C212" s="10">
        <v>4.4634239216558777E-3</v>
      </c>
      <c r="D212" s="10">
        <v>0.28167801024884898</v>
      </c>
    </row>
    <row r="213" spans="1:4">
      <c r="A213" s="10">
        <v>189</v>
      </c>
      <c r="B213" s="10">
        <v>-5.1902356380198879E-4</v>
      </c>
      <c r="C213" s="10">
        <v>-2.2005222226178508E-2</v>
      </c>
      <c r="D213" s="10">
        <v>-1.3887068135473408</v>
      </c>
    </row>
    <row r="214" spans="1:4">
      <c r="A214" s="10">
        <v>190</v>
      </c>
      <c r="B214" s="10">
        <v>2.8828380066981043E-3</v>
      </c>
      <c r="C214" s="10">
        <v>-1.4404479902901779E-2</v>
      </c>
      <c r="D214" s="10">
        <v>-0.90903873549471181</v>
      </c>
    </row>
    <row r="215" spans="1:4">
      <c r="A215" s="10">
        <v>191</v>
      </c>
      <c r="B215" s="10">
        <v>4.040258553467237E-3</v>
      </c>
      <c r="C215" s="10">
        <v>2.17997691114872E-3</v>
      </c>
      <c r="D215" s="10">
        <v>0.13757410667212569</v>
      </c>
    </row>
    <row r="216" spans="1:4">
      <c r="A216" s="10">
        <v>192</v>
      </c>
      <c r="B216" s="10">
        <v>2.610238428703946E-3</v>
      </c>
      <c r="C216" s="10">
        <v>-2.6223465468281006E-2</v>
      </c>
      <c r="D216" s="10">
        <v>-1.6549119475513461</v>
      </c>
    </row>
    <row r="217" spans="1:4">
      <c r="A217" s="10">
        <v>193</v>
      </c>
      <c r="B217" s="10">
        <v>2.702758872400846E-3</v>
      </c>
      <c r="C217" s="10">
        <v>2.1766747337463765E-2</v>
      </c>
      <c r="D217" s="10">
        <v>1.3736571267314481</v>
      </c>
    </row>
    <row r="218" spans="1:4">
      <c r="A218" s="10">
        <v>194</v>
      </c>
      <c r="B218" s="10">
        <v>2.1532092227543654E-3</v>
      </c>
      <c r="C218" s="10">
        <v>-1.1506853177135363E-2</v>
      </c>
      <c r="D218" s="10">
        <v>-0.7261751435787166</v>
      </c>
    </row>
    <row r="219" spans="1:4">
      <c r="A219" s="10">
        <v>195</v>
      </c>
      <c r="B219" s="10">
        <v>8.5048179224549054E-3</v>
      </c>
      <c r="C219" s="10">
        <v>-1.193305388040266E-2</v>
      </c>
      <c r="D219" s="10">
        <v>-0.75307184175710851</v>
      </c>
    </row>
    <row r="220" spans="1:4">
      <c r="A220" s="10">
        <v>196</v>
      </c>
      <c r="B220" s="10">
        <v>-3.5506675592738412E-3</v>
      </c>
      <c r="C220" s="10">
        <v>-2.0078938997193263E-2</v>
      </c>
      <c r="D220" s="10">
        <v>-1.2671428221720835</v>
      </c>
    </row>
    <row r="221" spans="1:4">
      <c r="A221" s="10">
        <v>197</v>
      </c>
      <c r="B221" s="10">
        <v>3.8640618184083014E-3</v>
      </c>
      <c r="C221" s="10">
        <v>-5.7178443413868907E-4</v>
      </c>
      <c r="D221" s="10">
        <v>-3.6084204531416982E-2</v>
      </c>
    </row>
    <row r="222" spans="1:4">
      <c r="A222" s="10">
        <v>198</v>
      </c>
      <c r="B222" s="10">
        <v>-4.466588514032685E-3</v>
      </c>
      <c r="C222" s="10">
        <v>-1.5567931118112156E-2</v>
      </c>
      <c r="D222" s="10">
        <v>-0.9824618808365696</v>
      </c>
    </row>
    <row r="223" spans="1:4">
      <c r="A223" s="10">
        <v>199</v>
      </c>
      <c r="B223" s="10">
        <v>3.4038738188110771E-3</v>
      </c>
      <c r="C223" s="10">
        <v>-2.8163635414494431E-3</v>
      </c>
      <c r="D223" s="10">
        <v>-0.17773523026658267</v>
      </c>
    </row>
    <row r="224" spans="1:4">
      <c r="A224" s="10">
        <v>200</v>
      </c>
      <c r="B224" s="10">
        <v>1.242570050597217E-2</v>
      </c>
      <c r="C224" s="10">
        <v>2.1803907058569487E-2</v>
      </c>
      <c r="D224" s="10">
        <v>1.3760022045206488</v>
      </c>
    </row>
    <row r="225" spans="1:4">
      <c r="A225" s="10">
        <v>201</v>
      </c>
      <c r="B225" s="10">
        <v>-2.516108591891472E-3</v>
      </c>
      <c r="C225" s="10">
        <v>3.33421556254214E-2</v>
      </c>
      <c r="D225" s="10">
        <v>2.104158650136001</v>
      </c>
    </row>
    <row r="226" spans="1:4">
      <c r="A226" s="10">
        <v>202</v>
      </c>
      <c r="B226" s="10">
        <v>2.9708423705073956E-3</v>
      </c>
      <c r="C226" s="10">
        <v>1.5258020739649313E-2</v>
      </c>
      <c r="D226" s="10">
        <v>0.96290403907806243</v>
      </c>
    </row>
    <row r="227" spans="1:4">
      <c r="A227" s="10">
        <v>203</v>
      </c>
      <c r="B227" s="10">
        <v>3.8298442284302181E-3</v>
      </c>
      <c r="C227" s="10">
        <v>2.6064314297248705E-3</v>
      </c>
      <c r="D227" s="10">
        <v>0.16448682264143849</v>
      </c>
    </row>
    <row r="228" spans="1:4">
      <c r="A228" s="10">
        <v>204</v>
      </c>
      <c r="B228" s="10">
        <v>1.9701328806439383E-3</v>
      </c>
      <c r="C228" s="10">
        <v>-8.7951757995493249E-3</v>
      </c>
      <c r="D228" s="10">
        <v>-0.55504645368455041</v>
      </c>
    </row>
    <row r="229" spans="1:4">
      <c r="A229" s="10">
        <v>205</v>
      </c>
      <c r="B229" s="10">
        <v>5.8259313428799826E-3</v>
      </c>
      <c r="C229" s="10">
        <v>-1.448342291430469E-2</v>
      </c>
      <c r="D229" s="10">
        <v>-0.9140206755401411</v>
      </c>
    </row>
    <row r="230" spans="1:4">
      <c r="A230" s="10">
        <v>206</v>
      </c>
      <c r="B230" s="10">
        <v>3.4042784188743017E-3</v>
      </c>
      <c r="C230" s="10">
        <v>2.1867206888148381E-2</v>
      </c>
      <c r="D230" s="10">
        <v>1.3799969337594209</v>
      </c>
    </row>
    <row r="231" spans="1:4">
      <c r="A231" s="10">
        <v>207</v>
      </c>
      <c r="B231" s="10">
        <v>1.4673607647700433E-3</v>
      </c>
      <c r="C231" s="10">
        <v>2.0994994048819512E-3</v>
      </c>
      <c r="D231" s="10">
        <v>0.1324953276377106</v>
      </c>
    </row>
    <row r="232" spans="1:4">
      <c r="A232" s="10">
        <v>208</v>
      </c>
      <c r="B232" s="10">
        <v>3.6329432686576374E-3</v>
      </c>
      <c r="C232" s="10">
        <v>-1.7478368281798246E-2</v>
      </c>
      <c r="D232" s="10">
        <v>-1.1030258578233025</v>
      </c>
    </row>
    <row r="233" spans="1:4">
      <c r="A233" s="10">
        <v>209</v>
      </c>
      <c r="B233" s="10">
        <v>-3.2713462659932479E-3</v>
      </c>
      <c r="C233" s="10">
        <v>-8.7060653041179728E-4</v>
      </c>
      <c r="D233" s="10">
        <v>-5.4942286347981796E-2</v>
      </c>
    </row>
    <row r="234" spans="1:4">
      <c r="A234" s="10">
        <v>210</v>
      </c>
      <c r="B234" s="10">
        <v>5.2759873132697684E-4</v>
      </c>
      <c r="C234" s="10">
        <v>6.3864560703243015E-3</v>
      </c>
      <c r="D234" s="10">
        <v>0.40303683226289938</v>
      </c>
    </row>
    <row r="235" spans="1:4">
      <c r="A235" s="10">
        <v>211</v>
      </c>
      <c r="B235" s="10">
        <v>3.0228022326188675E-3</v>
      </c>
      <c r="C235" s="10">
        <v>-1.3054511689585442E-2</v>
      </c>
      <c r="D235" s="10">
        <v>-0.82384486484729436</v>
      </c>
    </row>
    <row r="236" spans="1:4">
      <c r="A236" s="10">
        <v>212</v>
      </c>
      <c r="B236" s="10">
        <v>-1.3451397269761535E-3</v>
      </c>
      <c r="C236" s="10">
        <v>-1.3556779121584765E-2</v>
      </c>
      <c r="D236" s="10">
        <v>-0.85554198646102664</v>
      </c>
    </row>
    <row r="237" spans="1:4">
      <c r="A237" s="10">
        <v>213</v>
      </c>
      <c r="B237" s="10">
        <v>-5.6107186025502473E-3</v>
      </c>
      <c r="C237" s="10">
        <v>3.9054707234768933E-3</v>
      </c>
      <c r="D237" s="10">
        <v>0.2464666681416148</v>
      </c>
    </row>
    <row r="238" spans="1:4">
      <c r="A238" s="10">
        <v>214</v>
      </c>
      <c r="B238" s="10">
        <v>1.2588887111823547E-2</v>
      </c>
      <c r="C238" s="10">
        <v>9.176580637029589E-3</v>
      </c>
      <c r="D238" s="10">
        <v>0.5791161718216683</v>
      </c>
    </row>
    <row r="239" spans="1:4">
      <c r="A239" s="10">
        <v>215</v>
      </c>
      <c r="B239" s="10">
        <v>-1.7647304803847092E-3</v>
      </c>
      <c r="C239" s="10">
        <v>1.4693394625020788E-4</v>
      </c>
      <c r="D239" s="10">
        <v>9.2727158218069063E-3</v>
      </c>
    </row>
    <row r="240" spans="1:4">
      <c r="A240" s="10">
        <v>216</v>
      </c>
      <c r="B240" s="10">
        <v>3.4101562552548322E-3</v>
      </c>
      <c r="C240" s="10">
        <v>1.2092436098696591E-2</v>
      </c>
      <c r="D240" s="10">
        <v>0.76313014383777367</v>
      </c>
    </row>
    <row r="241" spans="1:4">
      <c r="A241" s="10">
        <v>217</v>
      </c>
      <c r="B241" s="10">
        <v>1.0393910994286182E-2</v>
      </c>
      <c r="C241" s="10">
        <v>5.0315890057137779E-3</v>
      </c>
      <c r="D241" s="10">
        <v>0.31753380462988701</v>
      </c>
    </row>
    <row r="242" spans="1:4">
      <c r="A242" s="10">
        <v>218</v>
      </c>
      <c r="B242" s="10">
        <v>7.2307740414099273E-4</v>
      </c>
      <c r="C242" s="10">
        <v>-6.2757124660361707E-3</v>
      </c>
      <c r="D242" s="10">
        <v>-0.3960480185962616</v>
      </c>
    </row>
    <row r="243" spans="1:4">
      <c r="A243" s="10">
        <v>219</v>
      </c>
      <c r="B243" s="10">
        <v>4.4452438581021837E-3</v>
      </c>
      <c r="C243" s="10">
        <v>2.6660394775758212E-3</v>
      </c>
      <c r="D243" s="10">
        <v>0.16824857070933094</v>
      </c>
    </row>
    <row r="244" spans="1:4">
      <c r="A244" s="10">
        <v>220</v>
      </c>
      <c r="B244" s="10">
        <v>1.2085201269425912E-3</v>
      </c>
      <c r="C244" s="10">
        <v>-1.773659673630415E-2</v>
      </c>
      <c r="D244" s="10">
        <v>-1.1193221537906086</v>
      </c>
    </row>
    <row r="245" spans="1:4">
      <c r="A245" s="10">
        <v>221</v>
      </c>
      <c r="B245" s="10">
        <v>1.4780593894739867E-2</v>
      </c>
      <c r="C245" s="10">
        <v>-2.1907100341192653E-2</v>
      </c>
      <c r="D245" s="10">
        <v>-1.3825145320590011</v>
      </c>
    </row>
    <row r="246" spans="1:4">
      <c r="A246" s="10">
        <v>222</v>
      </c>
      <c r="B246" s="10">
        <v>1.2284574846704146E-3</v>
      </c>
      <c r="C246" s="10">
        <v>-3.7545335342971616E-2</v>
      </c>
      <c r="D246" s="10">
        <v>-2.3694131543773627</v>
      </c>
    </row>
    <row r="247" spans="1:4">
      <c r="A247" s="10">
        <v>223</v>
      </c>
      <c r="B247" s="10">
        <v>1.2582112491916077E-2</v>
      </c>
      <c r="C247" s="10">
        <v>-2.8312210524707955E-2</v>
      </c>
      <c r="D247" s="10">
        <v>-1.7867285891562041</v>
      </c>
    </row>
    <row r="248" spans="1:4">
      <c r="A248" s="10">
        <v>224</v>
      </c>
      <c r="B248" s="10">
        <v>-9.6702999259871904E-4</v>
      </c>
      <c r="C248" s="10">
        <v>-1.2981473351104632E-2</v>
      </c>
      <c r="D248" s="10">
        <v>-0.81923555723585784</v>
      </c>
    </row>
    <row r="249" spans="1:4">
      <c r="A249" s="10">
        <v>225</v>
      </c>
      <c r="B249" s="10">
        <v>3.2266258798543859E-4</v>
      </c>
      <c r="C249" s="10">
        <v>-2.9129712420142551E-2</v>
      </c>
      <c r="D249" s="10">
        <v>-1.8383195451851468</v>
      </c>
    </row>
    <row r="250" spans="1:4">
      <c r="A250" s="10">
        <v>226</v>
      </c>
      <c r="B250" s="10">
        <v>-3.2414954625856404E-3</v>
      </c>
      <c r="C250" s="10">
        <v>-4.1456652991284483E-4</v>
      </c>
      <c r="D250" s="10">
        <v>-2.6162488105834724E-2</v>
      </c>
    </row>
    <row r="251" spans="1:4">
      <c r="A251" s="10">
        <v>227</v>
      </c>
      <c r="B251" s="10">
        <v>1.5668325003757532E-3</v>
      </c>
      <c r="C251" s="10">
        <v>2.0154272186841862E-2</v>
      </c>
      <c r="D251" s="10">
        <v>1.271896953381302</v>
      </c>
    </row>
    <row r="252" spans="1:4">
      <c r="A252" s="10">
        <v>228</v>
      </c>
      <c r="B252" s="10">
        <v>5.6074606627690973E-3</v>
      </c>
      <c r="C252" s="10">
        <v>5.0511499304472145E-3</v>
      </c>
      <c r="D252" s="10">
        <v>0.31876825657849284</v>
      </c>
    </row>
    <row r="253" spans="1:4">
      <c r="A253" s="10">
        <v>229</v>
      </c>
      <c r="B253" s="10">
        <v>9.0213771895660284E-3</v>
      </c>
      <c r="C253" s="10">
        <v>9.033268204744439E-3</v>
      </c>
      <c r="D253" s="10">
        <v>0.57007200270877167</v>
      </c>
    </row>
    <row r="254" spans="1:4">
      <c r="A254" s="10">
        <v>230</v>
      </c>
      <c r="B254" s="10">
        <v>5.9650400488925823E-3</v>
      </c>
      <c r="C254" s="10">
        <v>3.4370433145261645E-3</v>
      </c>
      <c r="D254" s="10">
        <v>0.21690512462362538</v>
      </c>
    </row>
    <row r="255" spans="1:4">
      <c r="A255" s="10">
        <v>231</v>
      </c>
      <c r="B255" s="10">
        <v>3.7725626079927067E-3</v>
      </c>
      <c r="C255" s="10">
        <v>-2.9708165159999168E-2</v>
      </c>
      <c r="D255" s="10">
        <v>-1.8748245735323892</v>
      </c>
    </row>
    <row r="256" spans="1:4">
      <c r="A256" s="10">
        <v>232</v>
      </c>
      <c r="B256" s="10">
        <v>1.0908755230085525E-3</v>
      </c>
      <c r="C256" s="10">
        <v>9.3878350271444366E-3</v>
      </c>
      <c r="D256" s="10">
        <v>0.59244802586653544</v>
      </c>
    </row>
    <row r="257" spans="1:4">
      <c r="A257" s="10">
        <v>233</v>
      </c>
      <c r="B257" s="10">
        <v>-3.6811457193765889E-3</v>
      </c>
      <c r="C257" s="10">
        <v>-2.3065615618262869E-2</v>
      </c>
      <c r="D257" s="10">
        <v>-1.4556261799364827</v>
      </c>
    </row>
    <row r="258" spans="1:4">
      <c r="A258" s="10">
        <v>234</v>
      </c>
      <c r="B258" s="10">
        <v>1.3621153524118256E-2</v>
      </c>
      <c r="C258" s="10">
        <v>-3.1407867118911602E-3</v>
      </c>
      <c r="D258" s="10">
        <v>-0.19820894612522424</v>
      </c>
    </row>
    <row r="259" spans="1:4">
      <c r="A259" s="10">
        <v>235</v>
      </c>
      <c r="B259" s="10">
        <v>8.831048933055443E-3</v>
      </c>
      <c r="C259" s="10">
        <v>-9.868260093460984E-3</v>
      </c>
      <c r="D259" s="10">
        <v>-0.62276671822670726</v>
      </c>
    </row>
    <row r="260" spans="1:4">
      <c r="A260" s="10">
        <v>236</v>
      </c>
      <c r="B260" s="10">
        <v>-2.5662424725671458E-3</v>
      </c>
      <c r="C260" s="10">
        <v>-9.488876984522214E-3</v>
      </c>
      <c r="D260" s="10">
        <v>-0.59882458744916511</v>
      </c>
    </row>
    <row r="261" spans="1:4">
      <c r="A261" s="10">
        <v>237</v>
      </c>
      <c r="B261" s="10">
        <v>6.2011110477726132E-4</v>
      </c>
      <c r="C261" s="10">
        <v>7.320103794453239E-3</v>
      </c>
      <c r="D261" s="10">
        <v>0.46195752584300637</v>
      </c>
    </row>
    <row r="262" spans="1:4">
      <c r="A262" s="10">
        <v>238</v>
      </c>
      <c r="B262" s="10">
        <v>4.3518174601685838E-3</v>
      </c>
      <c r="C262" s="10">
        <v>1.1171861962466348E-2</v>
      </c>
      <c r="D262" s="10">
        <v>0.70503449898500148</v>
      </c>
    </row>
    <row r="263" spans="1:4">
      <c r="A263" s="10">
        <v>239</v>
      </c>
      <c r="B263" s="10">
        <v>1.110492444422205E-3</v>
      </c>
      <c r="C263" s="10">
        <v>4.4221676130235246E-3</v>
      </c>
      <c r="D263" s="10">
        <v>0.27907440478144308</v>
      </c>
    </row>
    <row r="264" spans="1:4">
      <c r="A264" s="10">
        <v>240</v>
      </c>
      <c r="B264" s="10">
        <v>3.1436197186048205E-4</v>
      </c>
      <c r="C264" s="10">
        <v>-2.2777298935049324E-2</v>
      </c>
      <c r="D264" s="10">
        <v>-1.4374310743237024</v>
      </c>
    </row>
    <row r="265" spans="1:4">
      <c r="A265" s="10">
        <v>241</v>
      </c>
      <c r="B265" s="10">
        <v>2.7672262861486627E-3</v>
      </c>
      <c r="C265" s="10">
        <v>9.4657277711595027E-4</v>
      </c>
      <c r="D265" s="10">
        <v>5.9736368557802587E-2</v>
      </c>
    </row>
    <row r="266" spans="1:4">
      <c r="A266" s="10">
        <v>242</v>
      </c>
      <c r="B266" s="10">
        <v>4.1506697001193471E-3</v>
      </c>
      <c r="C266" s="10">
        <v>-8.02416219087786E-3</v>
      </c>
      <c r="D266" s="10">
        <v>-0.50638928309592468</v>
      </c>
    </row>
    <row r="267" spans="1:4">
      <c r="A267" s="10">
        <v>243</v>
      </c>
      <c r="B267" s="10">
        <v>-5.156419372086358E-3</v>
      </c>
      <c r="C267" s="10">
        <v>5.9108592893044225E-3</v>
      </c>
      <c r="D267" s="10">
        <v>0.37302284360534488</v>
      </c>
    </row>
    <row r="268" spans="1:4">
      <c r="A268" s="10">
        <v>244</v>
      </c>
      <c r="B268" s="10">
        <v>1.2731207401214225E-2</v>
      </c>
      <c r="C268" s="10">
        <v>5.2338684470787405E-2</v>
      </c>
      <c r="D268" s="10">
        <v>3.3029926709951352</v>
      </c>
    </row>
    <row r="269" spans="1:4">
      <c r="A269" s="10">
        <v>245</v>
      </c>
      <c r="B269" s="10">
        <v>1.0205146775033525E-2</v>
      </c>
      <c r="C269" s="10">
        <v>-8.2993149676009181E-3</v>
      </c>
      <c r="D269" s="10">
        <v>-0.52375364015055181</v>
      </c>
    </row>
    <row r="270" spans="1:4">
      <c r="A270" s="10">
        <v>246</v>
      </c>
      <c r="B270" s="10">
        <v>7.0614920000929369E-3</v>
      </c>
      <c r="C270" s="10">
        <v>2.2320243042548357E-3</v>
      </c>
      <c r="D270" s="10">
        <v>0.14085871651114171</v>
      </c>
    </row>
    <row r="271" spans="1:4">
      <c r="A271" s="10">
        <v>247</v>
      </c>
      <c r="B271" s="10">
        <v>1.1047300893675987E-2</v>
      </c>
      <c r="C271" s="10">
        <v>1.5822495088831334E-2</v>
      </c>
      <c r="D271" s="10">
        <v>0.9985269183530201</v>
      </c>
    </row>
    <row r="272" spans="1:4">
      <c r="A272" s="10">
        <v>248</v>
      </c>
      <c r="B272" s="10">
        <v>3.9229982041936555E-3</v>
      </c>
      <c r="C272" s="10">
        <v>-5.8631922567399112E-3</v>
      </c>
      <c r="D272" s="10">
        <v>-0.37001466980807368</v>
      </c>
    </row>
    <row r="273" spans="1:4">
      <c r="A273" s="10">
        <v>249</v>
      </c>
      <c r="B273" s="10">
        <v>3.4462970590227932E-3</v>
      </c>
      <c r="C273" s="10">
        <v>-9.7689657007625106E-4</v>
      </c>
      <c r="D273" s="10">
        <v>-6.1650044205507314E-2</v>
      </c>
    </row>
    <row r="274" spans="1:4">
      <c r="A274" s="10">
        <v>250</v>
      </c>
      <c r="B274" s="10">
        <v>2.4298960242545489E-4</v>
      </c>
      <c r="C274" s="10">
        <v>-5.5365429783129491E-3</v>
      </c>
      <c r="D274" s="10">
        <v>-0.34940046860031693</v>
      </c>
    </row>
    <row r="275" spans="1:4">
      <c r="A275" s="10">
        <v>251</v>
      </c>
      <c r="B275" s="10">
        <v>1.1047140930529151E-2</v>
      </c>
      <c r="C275" s="10">
        <v>-1.6526845015875789E-2</v>
      </c>
      <c r="D275" s="10">
        <v>-1.042977073536846</v>
      </c>
    </row>
    <row r="276" spans="1:4" ht="14.5" thickBot="1">
      <c r="A276" s="11">
        <v>252</v>
      </c>
      <c r="B276" s="11">
        <v>1.0670403589769112E-2</v>
      </c>
      <c r="C276" s="11">
        <v>-1.5756533391093563E-2</v>
      </c>
      <c r="D276" s="11">
        <v>-0.9943642037873559</v>
      </c>
    </row>
  </sheetData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4"/>
  <sheetViews>
    <sheetView topLeftCell="A3" workbookViewId="0">
      <selection activeCell="H14" sqref="H14"/>
    </sheetView>
  </sheetViews>
  <sheetFormatPr defaultRowHeight="14"/>
  <cols>
    <col min="1" max="1" width="10.4140625" bestFit="1" customWidth="1"/>
  </cols>
  <sheetData>
    <row r="1" spans="1:3" ht="14.5" thickBot="1">
      <c r="A1" s="1" t="s">
        <v>0</v>
      </c>
      <c r="B1" s="2" t="s">
        <v>1</v>
      </c>
    </row>
    <row r="2" spans="1:3">
      <c r="A2" s="3">
        <v>42747</v>
      </c>
      <c r="B2" s="4">
        <v>2270.4399410000001</v>
      </c>
      <c r="C2" t="s">
        <v>32</v>
      </c>
    </row>
    <row r="3" spans="1:3">
      <c r="A3" s="3">
        <v>42748</v>
      </c>
      <c r="B3" s="4">
        <v>2274.639893</v>
      </c>
      <c r="C3" s="5">
        <f>(B3-B2)/B2</f>
        <v>1.8498406076093335E-3</v>
      </c>
    </row>
    <row r="4" spans="1:3">
      <c r="A4" s="3">
        <v>42752</v>
      </c>
      <c r="B4" s="4">
        <v>2267.889893</v>
      </c>
      <c r="C4" s="5">
        <f t="shared" ref="C4:C67" si="0">(B4-B3)/B3</f>
        <v>-2.9675026894465883E-3</v>
      </c>
    </row>
    <row r="5" spans="1:3">
      <c r="A5" s="3">
        <v>42753</v>
      </c>
      <c r="B5" s="4">
        <v>2271.889893</v>
      </c>
      <c r="C5" s="5">
        <f t="shared" si="0"/>
        <v>1.7637540571728276E-3</v>
      </c>
    </row>
    <row r="6" spans="1:3">
      <c r="A6" s="3">
        <v>42754</v>
      </c>
      <c r="B6" s="4">
        <v>2263.6899410000001</v>
      </c>
      <c r="C6" s="5">
        <f t="shared" si="0"/>
        <v>-3.6093087192584027E-3</v>
      </c>
    </row>
    <row r="7" spans="1:3">
      <c r="A7" s="3">
        <v>42755</v>
      </c>
      <c r="B7" s="4">
        <v>2271.3100589999999</v>
      </c>
      <c r="C7" s="5">
        <f t="shared" si="0"/>
        <v>3.3662375142390669E-3</v>
      </c>
    </row>
    <row r="8" spans="1:3">
      <c r="A8" s="3">
        <v>42758</v>
      </c>
      <c r="B8" s="4">
        <v>2265.1999510000001</v>
      </c>
      <c r="C8" s="5">
        <f t="shared" si="0"/>
        <v>-2.6901250121218502E-3</v>
      </c>
    </row>
    <row r="9" spans="1:3">
      <c r="A9" s="3">
        <v>42759</v>
      </c>
      <c r="B9" s="4">
        <v>2280.070068</v>
      </c>
      <c r="C9" s="5">
        <f t="shared" si="0"/>
        <v>6.5645935553880538E-3</v>
      </c>
    </row>
    <row r="10" spans="1:3">
      <c r="A10" s="3">
        <v>42760</v>
      </c>
      <c r="B10" s="4">
        <v>2298.3701169999999</v>
      </c>
      <c r="C10" s="5">
        <f t="shared" si="0"/>
        <v>8.0260906262640107E-3</v>
      </c>
    </row>
    <row r="11" spans="1:3">
      <c r="A11" s="3">
        <v>42761</v>
      </c>
      <c r="B11" s="4">
        <v>2296.679932</v>
      </c>
      <c r="C11" s="5">
        <f t="shared" si="0"/>
        <v>-7.3538416963325347E-4</v>
      </c>
    </row>
    <row r="12" spans="1:3">
      <c r="A12" s="3">
        <v>42762</v>
      </c>
      <c r="B12" s="4">
        <v>2294.6899410000001</v>
      </c>
      <c r="C12" s="5">
        <f t="shared" si="0"/>
        <v>-8.6646422615230918E-4</v>
      </c>
    </row>
    <row r="13" spans="1:3">
      <c r="A13" s="3">
        <v>42765</v>
      </c>
      <c r="B13" s="4">
        <v>2280.8999020000001</v>
      </c>
      <c r="C13" s="5">
        <f t="shared" si="0"/>
        <v>-6.0095434915230575E-3</v>
      </c>
    </row>
    <row r="14" spans="1:3">
      <c r="A14" s="3">
        <v>42766</v>
      </c>
      <c r="B14" s="4">
        <v>2278.8701169999999</v>
      </c>
      <c r="C14" s="5">
        <f t="shared" si="0"/>
        <v>-8.8990533877456165E-4</v>
      </c>
    </row>
    <row r="15" spans="1:3">
      <c r="A15" s="3">
        <v>42767</v>
      </c>
      <c r="B15" s="4">
        <v>2279.5500489999999</v>
      </c>
      <c r="C15" s="5">
        <f t="shared" si="0"/>
        <v>2.9836364737412019E-4</v>
      </c>
    </row>
    <row r="16" spans="1:3">
      <c r="A16" s="3">
        <v>42768</v>
      </c>
      <c r="B16" s="4">
        <v>2280.8500979999999</v>
      </c>
      <c r="C16" s="5">
        <f t="shared" si="0"/>
        <v>5.7030947864919837E-4</v>
      </c>
    </row>
    <row r="17" spans="1:3">
      <c r="A17" s="3">
        <v>42769</v>
      </c>
      <c r="B17" s="4">
        <v>2297.419922</v>
      </c>
      <c r="C17" s="5">
        <f t="shared" si="0"/>
        <v>7.2647580016458203E-3</v>
      </c>
    </row>
    <row r="18" spans="1:3">
      <c r="A18" s="3">
        <v>42772</v>
      </c>
      <c r="B18" s="4">
        <v>2292.5600589999999</v>
      </c>
      <c r="C18" s="5">
        <f t="shared" si="0"/>
        <v>-2.1153568633501788E-3</v>
      </c>
    </row>
    <row r="19" spans="1:3">
      <c r="A19" s="3">
        <v>42773</v>
      </c>
      <c r="B19" s="4">
        <v>2293.080078</v>
      </c>
      <c r="C19" s="5">
        <f t="shared" si="0"/>
        <v>2.2682895392798412E-4</v>
      </c>
    </row>
    <row r="20" spans="1:3">
      <c r="A20" s="3">
        <v>42774</v>
      </c>
      <c r="B20" s="4">
        <v>2294.669922</v>
      </c>
      <c r="C20" s="5">
        <f t="shared" si="0"/>
        <v>6.9332249460155341E-4</v>
      </c>
    </row>
    <row r="21" spans="1:3">
      <c r="A21" s="3">
        <v>42775</v>
      </c>
      <c r="B21" s="4">
        <v>2307.8701169999999</v>
      </c>
      <c r="C21" s="5">
        <f t="shared" si="0"/>
        <v>5.7525463132818691E-3</v>
      </c>
    </row>
    <row r="22" spans="1:3">
      <c r="A22" s="3">
        <v>42776</v>
      </c>
      <c r="B22" s="4">
        <v>2316.1000979999999</v>
      </c>
      <c r="C22" s="5">
        <f t="shared" si="0"/>
        <v>3.5660503333255615E-3</v>
      </c>
    </row>
    <row r="23" spans="1:3">
      <c r="A23" s="3">
        <v>42779</v>
      </c>
      <c r="B23" s="4">
        <v>2328.25</v>
      </c>
      <c r="C23" s="5">
        <f t="shared" si="0"/>
        <v>5.2458449487963847E-3</v>
      </c>
    </row>
    <row r="24" spans="1:3">
      <c r="A24" s="3">
        <v>42780</v>
      </c>
      <c r="B24" s="4">
        <v>2337.580078</v>
      </c>
      <c r="C24" s="5">
        <f t="shared" si="0"/>
        <v>4.0073351229464012E-3</v>
      </c>
    </row>
    <row r="25" spans="1:3">
      <c r="A25" s="3">
        <v>42781</v>
      </c>
      <c r="B25" s="4">
        <v>2349.25</v>
      </c>
      <c r="C25" s="5">
        <f t="shared" si="0"/>
        <v>4.99230897363938E-3</v>
      </c>
    </row>
    <row r="26" spans="1:3">
      <c r="A26" s="3">
        <v>42782</v>
      </c>
      <c r="B26" s="4">
        <v>2347.219971</v>
      </c>
      <c r="C26" s="5">
        <f t="shared" si="0"/>
        <v>-8.64117909971273E-4</v>
      </c>
    </row>
    <row r="27" spans="1:3">
      <c r="A27" s="3">
        <v>42783</v>
      </c>
      <c r="B27" s="4">
        <v>2351.1599120000001</v>
      </c>
      <c r="C27" s="5">
        <f t="shared" si="0"/>
        <v>1.6785563554665623E-3</v>
      </c>
    </row>
    <row r="28" spans="1:3">
      <c r="A28" s="3">
        <v>42787</v>
      </c>
      <c r="B28" s="4">
        <v>2365.3798830000001</v>
      </c>
      <c r="C28" s="5">
        <f t="shared" si="0"/>
        <v>6.0480662873772179E-3</v>
      </c>
    </row>
    <row r="29" spans="1:3">
      <c r="A29" s="3">
        <v>42788</v>
      </c>
      <c r="B29" s="4">
        <v>2362.820068</v>
      </c>
      <c r="C29" s="5">
        <f t="shared" si="0"/>
        <v>-1.0822003765219607E-3</v>
      </c>
    </row>
    <row r="30" spans="1:3">
      <c r="A30" s="3">
        <v>42789</v>
      </c>
      <c r="B30" s="4">
        <v>2363.8100589999999</v>
      </c>
      <c r="C30" s="5">
        <f t="shared" si="0"/>
        <v>4.1898704577953419E-4</v>
      </c>
    </row>
    <row r="31" spans="1:3">
      <c r="A31" s="3">
        <v>42790</v>
      </c>
      <c r="B31" s="4">
        <v>2367.3400879999999</v>
      </c>
      <c r="C31" s="5">
        <f t="shared" si="0"/>
        <v>1.4933640655939071E-3</v>
      </c>
    </row>
    <row r="32" spans="1:3">
      <c r="A32" s="3">
        <v>42793</v>
      </c>
      <c r="B32" s="4">
        <v>2369.75</v>
      </c>
      <c r="C32" s="5">
        <f t="shared" si="0"/>
        <v>1.0179830148679832E-3</v>
      </c>
    </row>
    <row r="33" spans="1:3">
      <c r="A33" s="3">
        <v>42794</v>
      </c>
      <c r="B33" s="4">
        <v>2363.639893</v>
      </c>
      <c r="C33" s="5">
        <f t="shared" si="0"/>
        <v>-2.5783762000210868E-3</v>
      </c>
    </row>
    <row r="34" spans="1:3">
      <c r="A34" s="3">
        <v>42795</v>
      </c>
      <c r="B34" s="4">
        <v>2395.959961</v>
      </c>
      <c r="C34" s="5">
        <f t="shared" si="0"/>
        <v>1.3673854505382556E-2</v>
      </c>
    </row>
    <row r="35" spans="1:3">
      <c r="A35" s="3">
        <v>42796</v>
      </c>
      <c r="B35" s="4">
        <v>2381.919922</v>
      </c>
      <c r="C35" s="5">
        <f t="shared" si="0"/>
        <v>-5.8598804773599385E-3</v>
      </c>
    </row>
    <row r="36" spans="1:3">
      <c r="A36" s="3">
        <v>42797</v>
      </c>
      <c r="B36" s="4">
        <v>2383.1201169999999</v>
      </c>
      <c r="C36" s="5">
        <f t="shared" si="0"/>
        <v>5.0387714083693458E-4</v>
      </c>
    </row>
    <row r="37" spans="1:3">
      <c r="A37" s="3">
        <v>42800</v>
      </c>
      <c r="B37" s="4">
        <v>2375.3100589999999</v>
      </c>
      <c r="C37" s="5">
        <f t="shared" si="0"/>
        <v>-3.2772405991149741E-3</v>
      </c>
    </row>
    <row r="38" spans="1:3">
      <c r="A38" s="3">
        <v>42801</v>
      </c>
      <c r="B38" s="4">
        <v>2368.389893</v>
      </c>
      <c r="C38" s="5">
        <f t="shared" si="0"/>
        <v>-2.9133737609452364E-3</v>
      </c>
    </row>
    <row r="39" spans="1:3">
      <c r="A39" s="3">
        <v>42802</v>
      </c>
      <c r="B39" s="4">
        <v>2362.9799800000001</v>
      </c>
      <c r="C39" s="5">
        <f t="shared" si="0"/>
        <v>-2.2842155406884099E-3</v>
      </c>
    </row>
    <row r="40" spans="1:3">
      <c r="A40" s="3">
        <v>42803</v>
      </c>
      <c r="B40" s="4">
        <v>2364.8701169999999</v>
      </c>
      <c r="C40" s="5">
        <f t="shared" si="0"/>
        <v>7.9989547774326369E-4</v>
      </c>
    </row>
    <row r="41" spans="1:3">
      <c r="A41" s="3">
        <v>42804</v>
      </c>
      <c r="B41" s="4">
        <v>2372.6000979999999</v>
      </c>
      <c r="C41" s="5">
        <f t="shared" si="0"/>
        <v>3.2686704206005036E-3</v>
      </c>
    </row>
    <row r="42" spans="1:3">
      <c r="A42" s="3">
        <v>42807</v>
      </c>
      <c r="B42" s="4">
        <v>2373.469971</v>
      </c>
      <c r="C42" s="5">
        <f t="shared" si="0"/>
        <v>3.6663279274638967E-4</v>
      </c>
    </row>
    <row r="43" spans="1:3">
      <c r="A43" s="3">
        <v>42808</v>
      </c>
      <c r="B43" s="4">
        <v>2365.4499510000001</v>
      </c>
      <c r="C43" s="5">
        <f t="shared" si="0"/>
        <v>-3.379027372577587E-3</v>
      </c>
    </row>
    <row r="44" spans="1:3">
      <c r="A44" s="3">
        <v>42809</v>
      </c>
      <c r="B44" s="4">
        <v>2385.26001</v>
      </c>
      <c r="C44" s="5">
        <f t="shared" si="0"/>
        <v>8.3747529689331014E-3</v>
      </c>
    </row>
    <row r="45" spans="1:3">
      <c r="A45" s="3">
        <v>42810</v>
      </c>
      <c r="B45" s="4">
        <v>2381.3798830000001</v>
      </c>
      <c r="C45" s="5">
        <f t="shared" si="0"/>
        <v>-1.6267102889130742E-3</v>
      </c>
    </row>
    <row r="46" spans="1:3">
      <c r="A46" s="3">
        <v>42811</v>
      </c>
      <c r="B46" s="4">
        <v>2378.25</v>
      </c>
      <c r="C46" s="5">
        <f t="shared" si="0"/>
        <v>-1.3143148736341548E-3</v>
      </c>
    </row>
    <row r="47" spans="1:3">
      <c r="A47" s="3">
        <v>42814</v>
      </c>
      <c r="B47" s="4">
        <v>2373.469971</v>
      </c>
      <c r="C47" s="5">
        <f t="shared" si="0"/>
        <v>-2.0098934090192425E-3</v>
      </c>
    </row>
    <row r="48" spans="1:3">
      <c r="A48" s="3">
        <v>42815</v>
      </c>
      <c r="B48" s="4">
        <v>2344.0200199999999</v>
      </c>
      <c r="C48" s="5">
        <f t="shared" si="0"/>
        <v>-1.2407972866659898E-2</v>
      </c>
    </row>
    <row r="49" spans="1:3">
      <c r="A49" s="3">
        <v>42816</v>
      </c>
      <c r="B49" s="4">
        <v>2348.4499510000001</v>
      </c>
      <c r="C49" s="5">
        <f t="shared" si="0"/>
        <v>1.8898861623204584E-3</v>
      </c>
    </row>
    <row r="50" spans="1:3">
      <c r="A50" s="3">
        <v>42817</v>
      </c>
      <c r="B50" s="4">
        <v>2345.959961</v>
      </c>
      <c r="C50" s="5">
        <f t="shared" si="0"/>
        <v>-1.0602695616058434E-3</v>
      </c>
    </row>
    <row r="51" spans="1:3">
      <c r="A51" s="3">
        <v>42818</v>
      </c>
      <c r="B51" s="4">
        <v>2343.9799800000001</v>
      </c>
      <c r="C51" s="5">
        <f t="shared" si="0"/>
        <v>-8.4399607534476262E-4</v>
      </c>
    </row>
    <row r="52" spans="1:3">
      <c r="A52" s="3">
        <v>42821</v>
      </c>
      <c r="B52" s="4">
        <v>2341.5900879999999</v>
      </c>
      <c r="C52" s="5">
        <f t="shared" si="0"/>
        <v>-1.0195872065426707E-3</v>
      </c>
    </row>
    <row r="53" spans="1:3">
      <c r="A53" s="3">
        <v>42822</v>
      </c>
      <c r="B53" s="4">
        <v>2358.570068</v>
      </c>
      <c r="C53" s="5">
        <f t="shared" si="0"/>
        <v>7.2514741529773972E-3</v>
      </c>
    </row>
    <row r="54" spans="1:3">
      <c r="A54" s="3">
        <v>42823</v>
      </c>
      <c r="B54" s="4">
        <v>2361.1298830000001</v>
      </c>
      <c r="C54" s="5">
        <f t="shared" si="0"/>
        <v>1.0853249749627838E-3</v>
      </c>
    </row>
    <row r="55" spans="1:3">
      <c r="A55" s="3">
        <v>42824</v>
      </c>
      <c r="B55" s="4">
        <v>2368.0600589999999</v>
      </c>
      <c r="C55" s="5">
        <f t="shared" si="0"/>
        <v>2.9351100292689179E-3</v>
      </c>
    </row>
    <row r="56" spans="1:3">
      <c r="A56" s="3">
        <v>42825</v>
      </c>
      <c r="B56" s="4">
        <v>2362.719971</v>
      </c>
      <c r="C56" s="5">
        <f t="shared" si="0"/>
        <v>-2.2550475355151978E-3</v>
      </c>
    </row>
    <row r="57" spans="1:3">
      <c r="A57" s="3">
        <v>42828</v>
      </c>
      <c r="B57" s="4">
        <v>2358.8400879999999</v>
      </c>
      <c r="C57" s="5">
        <f t="shared" si="0"/>
        <v>-1.642125621157694E-3</v>
      </c>
    </row>
    <row r="58" spans="1:3">
      <c r="A58" s="3">
        <v>42829</v>
      </c>
      <c r="B58" s="4">
        <v>2360.1599120000001</v>
      </c>
      <c r="C58" s="5">
        <f t="shared" si="0"/>
        <v>5.5952245627604127E-4</v>
      </c>
    </row>
    <row r="59" spans="1:3">
      <c r="A59" s="3">
        <v>42830</v>
      </c>
      <c r="B59" s="4">
        <v>2352.9499510000001</v>
      </c>
      <c r="C59" s="5">
        <f t="shared" si="0"/>
        <v>-3.0548612250134773E-3</v>
      </c>
    </row>
    <row r="60" spans="1:3">
      <c r="A60" s="3">
        <v>42831</v>
      </c>
      <c r="B60" s="4">
        <v>2357.48999</v>
      </c>
      <c r="C60" s="5">
        <f t="shared" si="0"/>
        <v>1.9295093795218506E-3</v>
      </c>
    </row>
    <row r="61" spans="1:3">
      <c r="A61" s="3">
        <v>42832</v>
      </c>
      <c r="B61" s="4">
        <v>2355.540039</v>
      </c>
      <c r="C61" s="5">
        <f t="shared" si="0"/>
        <v>-8.2713012919306416E-4</v>
      </c>
    </row>
    <row r="62" spans="1:3">
      <c r="A62" s="3">
        <v>42835</v>
      </c>
      <c r="B62" s="4">
        <v>2357.1599120000001</v>
      </c>
      <c r="C62" s="5">
        <f t="shared" si="0"/>
        <v>6.8768646390225837E-4</v>
      </c>
    </row>
    <row r="63" spans="1:3">
      <c r="A63" s="3">
        <v>42836</v>
      </c>
      <c r="B63" s="4">
        <v>2353.780029</v>
      </c>
      <c r="C63" s="5">
        <f t="shared" si="0"/>
        <v>-1.4338793828935876E-3</v>
      </c>
    </row>
    <row r="64" spans="1:3">
      <c r="A64" s="3">
        <v>42837</v>
      </c>
      <c r="B64" s="4">
        <v>2344.929932</v>
      </c>
      <c r="C64" s="5">
        <f t="shared" si="0"/>
        <v>-3.7599507562140187E-3</v>
      </c>
    </row>
    <row r="65" spans="1:3">
      <c r="A65" s="3">
        <v>42838</v>
      </c>
      <c r="B65" s="4">
        <v>2328.9499510000001</v>
      </c>
      <c r="C65" s="5">
        <f t="shared" si="0"/>
        <v>-6.814694452883103E-3</v>
      </c>
    </row>
    <row r="66" spans="1:3">
      <c r="A66" s="3">
        <v>42842</v>
      </c>
      <c r="B66" s="4">
        <v>2349.01001</v>
      </c>
      <c r="C66" s="5">
        <f t="shared" si="0"/>
        <v>8.6133491152897302E-3</v>
      </c>
    </row>
    <row r="67" spans="1:3">
      <c r="A67" s="3">
        <v>42843</v>
      </c>
      <c r="B67" s="4">
        <v>2342.1899410000001</v>
      </c>
      <c r="C67" s="5">
        <f t="shared" si="0"/>
        <v>-2.9033801350211684E-3</v>
      </c>
    </row>
    <row r="68" spans="1:3">
      <c r="A68" s="3">
        <v>42844</v>
      </c>
      <c r="B68" s="4">
        <v>2338.169922</v>
      </c>
      <c r="C68" s="5">
        <f t="shared" ref="C68:C131" si="1">(B68-B67)/B67</f>
        <v>-1.7163505528008957E-3</v>
      </c>
    </row>
    <row r="69" spans="1:3">
      <c r="A69" s="3">
        <v>42845</v>
      </c>
      <c r="B69" s="4">
        <v>2355.8400879999999</v>
      </c>
      <c r="C69" s="5">
        <f t="shared" si="1"/>
        <v>7.5572634109010153E-3</v>
      </c>
    </row>
    <row r="70" spans="1:3">
      <c r="A70" s="3">
        <v>42846</v>
      </c>
      <c r="B70" s="4">
        <v>2348.6899410000001</v>
      </c>
      <c r="C70" s="5">
        <f t="shared" si="1"/>
        <v>-3.0350731513657109E-3</v>
      </c>
    </row>
    <row r="71" spans="1:3">
      <c r="A71" s="3">
        <v>42849</v>
      </c>
      <c r="B71" s="4">
        <v>2374.1499020000001</v>
      </c>
      <c r="C71" s="5">
        <f t="shared" si="1"/>
        <v>1.0840068991465068E-2</v>
      </c>
    </row>
    <row r="72" spans="1:3">
      <c r="A72" s="3">
        <v>42850</v>
      </c>
      <c r="B72" s="4">
        <v>2388.610107</v>
      </c>
      <c r="C72" s="5">
        <f t="shared" si="1"/>
        <v>6.0906874447222079E-3</v>
      </c>
    </row>
    <row r="73" spans="1:3">
      <c r="A73" s="3">
        <v>42851</v>
      </c>
      <c r="B73" s="4">
        <v>2387.4499510000001</v>
      </c>
      <c r="C73" s="5">
        <f t="shared" si="1"/>
        <v>-4.8570337896502731E-4</v>
      </c>
    </row>
    <row r="74" spans="1:3">
      <c r="A74" s="3">
        <v>42852</v>
      </c>
      <c r="B74" s="4">
        <v>2388.7700199999999</v>
      </c>
      <c r="C74" s="5">
        <f t="shared" si="1"/>
        <v>5.5292007250118717E-4</v>
      </c>
    </row>
    <row r="75" spans="1:3">
      <c r="A75" s="3">
        <v>42853</v>
      </c>
      <c r="B75" s="4">
        <v>2384.1999510000001</v>
      </c>
      <c r="C75" s="5">
        <f t="shared" si="1"/>
        <v>-1.9131473359665974E-3</v>
      </c>
    </row>
    <row r="76" spans="1:3">
      <c r="A76" s="3">
        <v>42856</v>
      </c>
      <c r="B76" s="4">
        <v>2388.330078</v>
      </c>
      <c r="C76" s="5">
        <f t="shared" si="1"/>
        <v>1.7322905313657151E-3</v>
      </c>
    </row>
    <row r="77" spans="1:3">
      <c r="A77" s="3">
        <v>42857</v>
      </c>
      <c r="B77" s="4">
        <v>2391.169922</v>
      </c>
      <c r="C77" s="5">
        <f t="shared" si="1"/>
        <v>1.1890500505600905E-3</v>
      </c>
    </row>
    <row r="78" spans="1:3">
      <c r="A78" s="3">
        <v>42858</v>
      </c>
      <c r="B78" s="4">
        <v>2388.1298830000001</v>
      </c>
      <c r="C78" s="5">
        <f t="shared" si="1"/>
        <v>-1.271360505177841E-3</v>
      </c>
    </row>
    <row r="79" spans="1:3">
      <c r="A79" s="3">
        <v>42859</v>
      </c>
      <c r="B79" s="4">
        <v>2389.5200199999999</v>
      </c>
      <c r="C79" s="5">
        <f t="shared" si="1"/>
        <v>5.8210276161929663E-4</v>
      </c>
    </row>
    <row r="80" spans="1:3">
      <c r="A80" s="3">
        <v>42860</v>
      </c>
      <c r="B80" s="4">
        <v>2399.290039</v>
      </c>
      <c r="C80" s="5">
        <f t="shared" si="1"/>
        <v>4.0886951849016303E-3</v>
      </c>
    </row>
    <row r="81" spans="1:3">
      <c r="A81" s="3">
        <v>42863</v>
      </c>
      <c r="B81" s="4">
        <v>2399.3798830000001</v>
      </c>
      <c r="C81" s="5">
        <f t="shared" si="1"/>
        <v>3.7446077189371702E-5</v>
      </c>
    </row>
    <row r="82" spans="1:3">
      <c r="A82" s="3">
        <v>42864</v>
      </c>
      <c r="B82" s="4">
        <v>2396.919922</v>
      </c>
      <c r="C82" s="5">
        <f t="shared" si="1"/>
        <v>-1.0252486558836506E-3</v>
      </c>
    </row>
    <row r="83" spans="1:3">
      <c r="A83" s="3">
        <v>42865</v>
      </c>
      <c r="B83" s="4">
        <v>2399.6298830000001</v>
      </c>
      <c r="C83" s="5">
        <f t="shared" si="1"/>
        <v>1.1306013918641129E-3</v>
      </c>
    </row>
    <row r="84" spans="1:3">
      <c r="A84" s="3">
        <v>42866</v>
      </c>
      <c r="B84" s="4">
        <v>2394.4399410000001</v>
      </c>
      <c r="C84" s="5">
        <f t="shared" si="1"/>
        <v>-2.1628093718817775E-3</v>
      </c>
    </row>
    <row r="85" spans="1:3">
      <c r="A85" s="3">
        <v>42867</v>
      </c>
      <c r="B85" s="4">
        <v>2390.8999020000001</v>
      </c>
      <c r="C85" s="5">
        <f t="shared" si="1"/>
        <v>-1.4784413421209208E-3</v>
      </c>
    </row>
    <row r="86" spans="1:3">
      <c r="A86" s="3">
        <v>42870</v>
      </c>
      <c r="B86" s="4">
        <v>2402.320068</v>
      </c>
      <c r="C86" s="5">
        <f t="shared" si="1"/>
        <v>4.7765136426024587E-3</v>
      </c>
    </row>
    <row r="87" spans="1:3">
      <c r="A87" s="3">
        <v>42871</v>
      </c>
      <c r="B87" s="4">
        <v>2400.669922</v>
      </c>
      <c r="C87" s="5">
        <f t="shared" si="1"/>
        <v>-6.8689681361807189E-4</v>
      </c>
    </row>
    <row r="88" spans="1:3">
      <c r="A88" s="3">
        <v>42872</v>
      </c>
      <c r="B88" s="4">
        <v>2357.030029</v>
      </c>
      <c r="C88" s="5">
        <f t="shared" si="1"/>
        <v>-1.8178214589219161E-2</v>
      </c>
    </row>
    <row r="89" spans="1:3">
      <c r="A89" s="3">
        <v>42873</v>
      </c>
      <c r="B89" s="4">
        <v>2365.719971</v>
      </c>
      <c r="C89" s="5">
        <f t="shared" si="1"/>
        <v>3.686818535649625E-3</v>
      </c>
    </row>
    <row r="90" spans="1:3">
      <c r="A90" s="3">
        <v>42874</v>
      </c>
      <c r="B90" s="4">
        <v>2381.7299800000001</v>
      </c>
      <c r="C90" s="5">
        <f t="shared" si="1"/>
        <v>6.7674996179841957E-3</v>
      </c>
    </row>
    <row r="91" spans="1:3">
      <c r="A91" s="3">
        <v>42877</v>
      </c>
      <c r="B91" s="4">
        <v>2394.0200199999999</v>
      </c>
      <c r="C91" s="5">
        <f t="shared" si="1"/>
        <v>5.1601315443826519E-3</v>
      </c>
    </row>
    <row r="92" spans="1:3">
      <c r="A92" s="3">
        <v>42878</v>
      </c>
      <c r="B92" s="4">
        <v>2398.419922</v>
      </c>
      <c r="C92" s="5">
        <f t="shared" si="1"/>
        <v>1.8378718487074769E-3</v>
      </c>
    </row>
    <row r="93" spans="1:3">
      <c r="A93" s="3">
        <v>42879</v>
      </c>
      <c r="B93" s="4">
        <v>2404.389893</v>
      </c>
      <c r="C93" s="5">
        <f t="shared" si="1"/>
        <v>2.4891266726227547E-3</v>
      </c>
    </row>
    <row r="94" spans="1:3">
      <c r="A94" s="3">
        <v>42880</v>
      </c>
      <c r="B94" s="4">
        <v>2415.070068</v>
      </c>
      <c r="C94" s="5">
        <f t="shared" si="1"/>
        <v>4.4419480513928295E-3</v>
      </c>
    </row>
    <row r="95" spans="1:3">
      <c r="A95" s="3">
        <v>42881</v>
      </c>
      <c r="B95" s="4">
        <v>2415.820068</v>
      </c>
      <c r="C95" s="5">
        <f t="shared" si="1"/>
        <v>3.1054999601775528E-4</v>
      </c>
    </row>
    <row r="96" spans="1:3">
      <c r="A96" s="3">
        <v>42885</v>
      </c>
      <c r="B96" s="4">
        <v>2412.9099120000001</v>
      </c>
      <c r="C96" s="5">
        <f t="shared" si="1"/>
        <v>-1.2046244828196847E-3</v>
      </c>
    </row>
    <row r="97" spans="1:3">
      <c r="A97" s="3">
        <v>42886</v>
      </c>
      <c r="B97" s="4">
        <v>2411.8000489999999</v>
      </c>
      <c r="C97" s="5">
        <f t="shared" si="1"/>
        <v>-4.5996868531249669E-4</v>
      </c>
    </row>
    <row r="98" spans="1:3">
      <c r="A98" s="3">
        <v>42887</v>
      </c>
      <c r="B98" s="4">
        <v>2430.0600589999999</v>
      </c>
      <c r="C98" s="5">
        <f t="shared" si="1"/>
        <v>7.5711127079423849E-3</v>
      </c>
    </row>
    <row r="99" spans="1:3">
      <c r="A99" s="3">
        <v>42888</v>
      </c>
      <c r="B99" s="4">
        <v>2439.070068</v>
      </c>
      <c r="C99" s="5">
        <f t="shared" si="1"/>
        <v>3.7077309948083397E-3</v>
      </c>
    </row>
    <row r="100" spans="1:3">
      <c r="A100" s="3">
        <v>42891</v>
      </c>
      <c r="B100" s="4">
        <v>2436.1000979999999</v>
      </c>
      <c r="C100" s="5">
        <f t="shared" si="1"/>
        <v>-1.217664895717995E-3</v>
      </c>
    </row>
    <row r="101" spans="1:3">
      <c r="A101" s="3">
        <v>42892</v>
      </c>
      <c r="B101" s="4">
        <v>2429.330078</v>
      </c>
      <c r="C101" s="5">
        <f t="shared" si="1"/>
        <v>-2.7790401574869653E-3</v>
      </c>
    </row>
    <row r="102" spans="1:3">
      <c r="A102" s="3">
        <v>42893</v>
      </c>
      <c r="B102" s="4">
        <v>2433.139893</v>
      </c>
      <c r="C102" s="5">
        <f t="shared" si="1"/>
        <v>1.5682574527445799E-3</v>
      </c>
    </row>
    <row r="103" spans="1:3">
      <c r="A103" s="3">
        <v>42894</v>
      </c>
      <c r="B103" s="4">
        <v>2433.790039</v>
      </c>
      <c r="C103" s="5">
        <f t="shared" si="1"/>
        <v>2.6720452936979968E-4</v>
      </c>
    </row>
    <row r="104" spans="1:3">
      <c r="A104" s="3">
        <v>42895</v>
      </c>
      <c r="B104" s="4">
        <v>2431.7700199999999</v>
      </c>
      <c r="C104" s="5">
        <f t="shared" si="1"/>
        <v>-8.2998901615606764E-4</v>
      </c>
    </row>
    <row r="105" spans="1:3">
      <c r="A105" s="3">
        <v>42898</v>
      </c>
      <c r="B105" s="4">
        <v>2429.389893</v>
      </c>
      <c r="C105" s="5">
        <f t="shared" si="1"/>
        <v>-9.7876319735198578E-4</v>
      </c>
    </row>
    <row r="106" spans="1:3">
      <c r="A106" s="3">
        <v>42899</v>
      </c>
      <c r="B106" s="4">
        <v>2440.3500979999999</v>
      </c>
      <c r="C106" s="5">
        <f t="shared" si="1"/>
        <v>4.5115051443905306E-3</v>
      </c>
    </row>
    <row r="107" spans="1:3">
      <c r="A107" s="3">
        <v>42900</v>
      </c>
      <c r="B107" s="4">
        <v>2437.919922</v>
      </c>
      <c r="C107" s="5">
        <f t="shared" si="1"/>
        <v>-9.9583088590096507E-4</v>
      </c>
    </row>
    <row r="108" spans="1:3">
      <c r="A108" s="3">
        <v>42901</v>
      </c>
      <c r="B108" s="4">
        <v>2432.459961</v>
      </c>
      <c r="C108" s="5">
        <f t="shared" si="1"/>
        <v>-2.2395981716744925E-3</v>
      </c>
    </row>
    <row r="109" spans="1:3">
      <c r="A109" s="3">
        <v>42902</v>
      </c>
      <c r="B109" s="4">
        <v>2433.1499020000001</v>
      </c>
      <c r="C109" s="5">
        <f t="shared" si="1"/>
        <v>2.8363920108121762E-4</v>
      </c>
    </row>
    <row r="110" spans="1:3">
      <c r="A110" s="3">
        <v>42905</v>
      </c>
      <c r="B110" s="4">
        <v>2453.459961</v>
      </c>
      <c r="C110" s="5">
        <f t="shared" si="1"/>
        <v>8.3472288260190847E-3</v>
      </c>
    </row>
    <row r="111" spans="1:3">
      <c r="A111" s="3">
        <v>42906</v>
      </c>
      <c r="B111" s="4">
        <v>2437.030029</v>
      </c>
      <c r="C111" s="5">
        <f t="shared" si="1"/>
        <v>-6.6966375083224797E-3</v>
      </c>
    </row>
    <row r="112" spans="1:3">
      <c r="A112" s="3">
        <v>42907</v>
      </c>
      <c r="B112" s="4">
        <v>2435.610107</v>
      </c>
      <c r="C112" s="5">
        <f t="shared" si="1"/>
        <v>-5.8264444143213401E-4</v>
      </c>
    </row>
    <row r="113" spans="1:3">
      <c r="A113" s="3">
        <v>42908</v>
      </c>
      <c r="B113" s="4">
        <v>2434.5</v>
      </c>
      <c r="C113" s="5">
        <f t="shared" si="1"/>
        <v>-4.5578189908536577E-4</v>
      </c>
    </row>
    <row r="114" spans="1:3">
      <c r="A114" s="3">
        <v>42909</v>
      </c>
      <c r="B114" s="4">
        <v>2438.3000489999999</v>
      </c>
      <c r="C114" s="5">
        <f t="shared" si="1"/>
        <v>1.5609155884164898E-3</v>
      </c>
    </row>
    <row r="115" spans="1:3">
      <c r="A115" s="3">
        <v>42912</v>
      </c>
      <c r="B115" s="4">
        <v>2439.070068</v>
      </c>
      <c r="C115" s="5">
        <f t="shared" si="1"/>
        <v>3.158015767238528E-4</v>
      </c>
    </row>
    <row r="116" spans="1:3">
      <c r="A116" s="3">
        <v>42913</v>
      </c>
      <c r="B116" s="4">
        <v>2419.3798830000001</v>
      </c>
      <c r="C116" s="5">
        <f t="shared" si="1"/>
        <v>-8.0728246631084181E-3</v>
      </c>
    </row>
    <row r="117" spans="1:3">
      <c r="A117" s="3">
        <v>42914</v>
      </c>
      <c r="B117" s="4">
        <v>2440.6899410000001</v>
      </c>
      <c r="C117" s="5">
        <f t="shared" si="1"/>
        <v>8.8080661287370157E-3</v>
      </c>
    </row>
    <row r="118" spans="1:3">
      <c r="A118" s="3">
        <v>42915</v>
      </c>
      <c r="B118" s="4">
        <v>2419.6999510000001</v>
      </c>
      <c r="C118" s="5">
        <f t="shared" si="1"/>
        <v>-8.6000231522239193E-3</v>
      </c>
    </row>
    <row r="119" spans="1:3">
      <c r="A119" s="3">
        <v>42916</v>
      </c>
      <c r="B119" s="4">
        <v>2423.4099120000001</v>
      </c>
      <c r="C119" s="5">
        <f t="shared" si="1"/>
        <v>1.5332318366443696E-3</v>
      </c>
    </row>
    <row r="120" spans="1:3">
      <c r="A120" s="3">
        <v>42919</v>
      </c>
      <c r="B120" s="4">
        <v>2429.01001</v>
      </c>
      <c r="C120" s="5">
        <f t="shared" si="1"/>
        <v>2.3108339915050612E-3</v>
      </c>
    </row>
    <row r="121" spans="1:3">
      <c r="A121" s="3">
        <v>42921</v>
      </c>
      <c r="B121" s="4">
        <v>2432.540039</v>
      </c>
      <c r="C121" s="5">
        <f t="shared" si="1"/>
        <v>1.4532789018848109E-3</v>
      </c>
    </row>
    <row r="122" spans="1:3">
      <c r="A122" s="3">
        <v>42922</v>
      </c>
      <c r="B122" s="4">
        <v>2409.75</v>
      </c>
      <c r="C122" s="5">
        <f t="shared" si="1"/>
        <v>-9.3688237951342433E-3</v>
      </c>
    </row>
    <row r="123" spans="1:3">
      <c r="A123" s="3">
        <v>42923</v>
      </c>
      <c r="B123" s="4">
        <v>2425.179932</v>
      </c>
      <c r="C123" s="5">
        <f t="shared" si="1"/>
        <v>6.4031256354393643E-3</v>
      </c>
    </row>
    <row r="124" spans="1:3">
      <c r="A124" s="3">
        <v>42926</v>
      </c>
      <c r="B124" s="4">
        <v>2427.429932</v>
      </c>
      <c r="C124" s="5">
        <f t="shared" si="1"/>
        <v>9.2776621244118065E-4</v>
      </c>
    </row>
    <row r="125" spans="1:3">
      <c r="A125" s="3">
        <v>42927</v>
      </c>
      <c r="B125" s="4">
        <v>2425.530029</v>
      </c>
      <c r="C125" s="5">
        <f t="shared" si="1"/>
        <v>-7.8268088192956942E-4</v>
      </c>
    </row>
    <row r="126" spans="1:3">
      <c r="A126" s="3">
        <v>42928</v>
      </c>
      <c r="B126" s="4">
        <v>2443.25</v>
      </c>
      <c r="C126" s="5">
        <f t="shared" si="1"/>
        <v>7.3056077591855647E-3</v>
      </c>
    </row>
    <row r="127" spans="1:3">
      <c r="A127" s="3">
        <v>42929</v>
      </c>
      <c r="B127" s="4">
        <v>2447.830078</v>
      </c>
      <c r="C127" s="5">
        <f t="shared" si="1"/>
        <v>1.8745842627647428E-3</v>
      </c>
    </row>
    <row r="128" spans="1:3">
      <c r="A128" s="3">
        <v>42930</v>
      </c>
      <c r="B128" s="4">
        <v>2459.2700199999999</v>
      </c>
      <c r="C128" s="5">
        <f t="shared" si="1"/>
        <v>4.6735033214997425E-3</v>
      </c>
    </row>
    <row r="129" spans="1:3">
      <c r="A129" s="3">
        <v>42933</v>
      </c>
      <c r="B129" s="4">
        <v>2459.139893</v>
      </c>
      <c r="C129" s="5">
        <f t="shared" si="1"/>
        <v>-5.2912855823738372E-5</v>
      </c>
    </row>
    <row r="130" spans="1:3">
      <c r="A130" s="3">
        <v>42934</v>
      </c>
      <c r="B130" s="4">
        <v>2460.610107</v>
      </c>
      <c r="C130" s="5">
        <f t="shared" si="1"/>
        <v>5.9785700040284034E-4</v>
      </c>
    </row>
    <row r="131" spans="1:3">
      <c r="A131" s="3">
        <v>42935</v>
      </c>
      <c r="B131" s="4">
        <v>2473.830078</v>
      </c>
      <c r="C131" s="5">
        <f t="shared" si="1"/>
        <v>5.3726394776610524E-3</v>
      </c>
    </row>
    <row r="132" spans="1:3">
      <c r="A132" s="3">
        <v>42936</v>
      </c>
      <c r="B132" s="4">
        <v>2473.4499510000001</v>
      </c>
      <c r="C132" s="5">
        <f t="shared" ref="C132:C195" si="2">(B132-B131)/B131</f>
        <v>-1.5365930076621139E-4</v>
      </c>
    </row>
    <row r="133" spans="1:3">
      <c r="A133" s="3">
        <v>42937</v>
      </c>
      <c r="B133" s="4">
        <v>2472.540039</v>
      </c>
      <c r="C133" s="5">
        <f t="shared" si="2"/>
        <v>-3.6787160364098131E-4</v>
      </c>
    </row>
    <row r="134" spans="1:3">
      <c r="A134" s="3">
        <v>42940</v>
      </c>
      <c r="B134" s="4">
        <v>2469.9099120000001</v>
      </c>
      <c r="C134" s="5">
        <f t="shared" si="2"/>
        <v>-1.0637348469647581E-3</v>
      </c>
    </row>
    <row r="135" spans="1:3">
      <c r="A135" s="3">
        <v>42941</v>
      </c>
      <c r="B135" s="4">
        <v>2477.1298830000001</v>
      </c>
      <c r="C135" s="5">
        <f t="shared" si="2"/>
        <v>2.9231717986643664E-3</v>
      </c>
    </row>
    <row r="136" spans="1:3">
      <c r="A136" s="3">
        <v>42942</v>
      </c>
      <c r="B136" s="4">
        <v>2477.830078</v>
      </c>
      <c r="C136" s="5">
        <f t="shared" si="2"/>
        <v>2.826638218711014E-4</v>
      </c>
    </row>
    <row r="137" spans="1:3">
      <c r="A137" s="3">
        <v>42943</v>
      </c>
      <c r="B137" s="4">
        <v>2475.419922</v>
      </c>
      <c r="C137" s="5">
        <f t="shared" si="2"/>
        <v>-9.7268816832883544E-4</v>
      </c>
    </row>
    <row r="138" spans="1:3">
      <c r="A138" s="3">
        <v>42944</v>
      </c>
      <c r="B138" s="4">
        <v>2472.1000979999999</v>
      </c>
      <c r="C138" s="5">
        <f t="shared" si="2"/>
        <v>-1.3411154893339964E-3</v>
      </c>
    </row>
    <row r="139" spans="1:3">
      <c r="A139" s="3">
        <v>42947</v>
      </c>
      <c r="B139" s="4">
        <v>2470.3000489999999</v>
      </c>
      <c r="C139" s="5">
        <f t="shared" si="2"/>
        <v>-7.2814567721437976E-4</v>
      </c>
    </row>
    <row r="140" spans="1:3">
      <c r="A140" s="3">
        <v>42948</v>
      </c>
      <c r="B140" s="4">
        <v>2476.3500979999999</v>
      </c>
      <c r="C140" s="5">
        <f t="shared" si="2"/>
        <v>2.4491150386565632E-3</v>
      </c>
    </row>
    <row r="141" spans="1:3">
      <c r="A141" s="3">
        <v>42949</v>
      </c>
      <c r="B141" s="4">
        <v>2477.570068</v>
      </c>
      <c r="C141" s="5">
        <f t="shared" si="2"/>
        <v>4.9264843488220831E-4</v>
      </c>
    </row>
    <row r="142" spans="1:3">
      <c r="A142" s="3">
        <v>42950</v>
      </c>
      <c r="B142" s="4">
        <v>2472.1599120000001</v>
      </c>
      <c r="C142" s="5">
        <f t="shared" si="2"/>
        <v>-2.1836540850556948E-3</v>
      </c>
    </row>
    <row r="143" spans="1:3">
      <c r="A143" s="3">
        <v>42951</v>
      </c>
      <c r="B143" s="4">
        <v>2476.830078</v>
      </c>
      <c r="C143" s="5">
        <f t="shared" si="2"/>
        <v>1.889103523332224E-3</v>
      </c>
    </row>
    <row r="144" spans="1:3">
      <c r="A144" s="3">
        <v>42954</v>
      </c>
      <c r="B144" s="4">
        <v>2480.9099120000001</v>
      </c>
      <c r="C144" s="5">
        <f t="shared" si="2"/>
        <v>1.6471997963197051E-3</v>
      </c>
    </row>
    <row r="145" spans="1:3">
      <c r="A145" s="3">
        <v>42955</v>
      </c>
      <c r="B145" s="4">
        <v>2474.919922</v>
      </c>
      <c r="C145" s="5">
        <f t="shared" si="2"/>
        <v>-2.4144326930320369E-3</v>
      </c>
    </row>
    <row r="146" spans="1:3">
      <c r="A146" s="3">
        <v>42956</v>
      </c>
      <c r="B146" s="4">
        <v>2474.0200199999999</v>
      </c>
      <c r="C146" s="5">
        <f t="shared" si="2"/>
        <v>-3.6360853213904953E-4</v>
      </c>
    </row>
    <row r="147" spans="1:3">
      <c r="A147" s="3">
        <v>42957</v>
      </c>
      <c r="B147" s="4">
        <v>2438.209961</v>
      </c>
      <c r="C147" s="5">
        <f t="shared" si="2"/>
        <v>-1.4474441884265719E-2</v>
      </c>
    </row>
    <row r="148" spans="1:3">
      <c r="A148" s="3">
        <v>42958</v>
      </c>
      <c r="B148" s="4">
        <v>2441.320068</v>
      </c>
      <c r="C148" s="5">
        <f t="shared" si="2"/>
        <v>1.2755698031536222E-3</v>
      </c>
    </row>
    <row r="149" spans="1:3">
      <c r="A149" s="3">
        <v>42961</v>
      </c>
      <c r="B149" s="4">
        <v>2465.8400879999999</v>
      </c>
      <c r="C149" s="5">
        <f t="shared" si="2"/>
        <v>1.0043754738020664E-2</v>
      </c>
    </row>
    <row r="150" spans="1:3">
      <c r="A150" s="3">
        <v>42962</v>
      </c>
      <c r="B150" s="4">
        <v>2464.610107</v>
      </c>
      <c r="C150" s="5">
        <f t="shared" si="2"/>
        <v>-4.9880809626936054E-4</v>
      </c>
    </row>
    <row r="151" spans="1:3">
      <c r="A151" s="3">
        <v>42963</v>
      </c>
      <c r="B151" s="4">
        <v>2468.110107</v>
      </c>
      <c r="C151" s="5">
        <f t="shared" si="2"/>
        <v>1.4201029160999055E-3</v>
      </c>
    </row>
    <row r="152" spans="1:3">
      <c r="A152" s="3">
        <v>42964</v>
      </c>
      <c r="B152" s="4">
        <v>2430.01001</v>
      </c>
      <c r="C152" s="5">
        <f t="shared" si="2"/>
        <v>-1.5436951897705593E-2</v>
      </c>
    </row>
    <row r="153" spans="1:3">
      <c r="A153" s="3">
        <v>42965</v>
      </c>
      <c r="B153" s="4">
        <v>2425.5500489999999</v>
      </c>
      <c r="C153" s="5">
        <f t="shared" si="2"/>
        <v>-1.8353673366143957E-3</v>
      </c>
    </row>
    <row r="154" spans="1:3">
      <c r="A154" s="3">
        <v>42968</v>
      </c>
      <c r="B154" s="4">
        <v>2428.3701169999999</v>
      </c>
      <c r="C154" s="5">
        <f t="shared" si="2"/>
        <v>1.1626509216590452E-3</v>
      </c>
    </row>
    <row r="155" spans="1:3">
      <c r="A155" s="3">
        <v>42969</v>
      </c>
      <c r="B155" s="4">
        <v>2452.51001</v>
      </c>
      <c r="C155" s="5">
        <f t="shared" si="2"/>
        <v>9.9407799622498929E-3</v>
      </c>
    </row>
    <row r="156" spans="1:3">
      <c r="A156" s="3">
        <v>42970</v>
      </c>
      <c r="B156" s="4">
        <v>2444.040039</v>
      </c>
      <c r="C156" s="5">
        <f t="shared" si="2"/>
        <v>-3.4535928356924368E-3</v>
      </c>
    </row>
    <row r="157" spans="1:3">
      <c r="A157" s="3">
        <v>42971</v>
      </c>
      <c r="B157" s="4">
        <v>2438.969971</v>
      </c>
      <c r="C157" s="5">
        <f t="shared" si="2"/>
        <v>-2.0744619233302145E-3</v>
      </c>
    </row>
    <row r="158" spans="1:3">
      <c r="A158" s="3">
        <v>42972</v>
      </c>
      <c r="B158" s="4">
        <v>2443.0500489999999</v>
      </c>
      <c r="C158" s="5">
        <f t="shared" si="2"/>
        <v>1.6728693048758973E-3</v>
      </c>
    </row>
    <row r="159" spans="1:3">
      <c r="A159" s="3">
        <v>42975</v>
      </c>
      <c r="B159" s="4">
        <v>2444.23999</v>
      </c>
      <c r="C159" s="5">
        <f t="shared" si="2"/>
        <v>4.8707188806351378E-4</v>
      </c>
    </row>
    <row r="160" spans="1:3">
      <c r="A160" s="3">
        <v>42976</v>
      </c>
      <c r="B160" s="4">
        <v>2446.3000489999999</v>
      </c>
      <c r="C160" s="5">
        <f t="shared" si="2"/>
        <v>8.4282190309794831E-4</v>
      </c>
    </row>
    <row r="161" spans="1:3">
      <c r="A161" s="3">
        <v>42977</v>
      </c>
      <c r="B161" s="4">
        <v>2457.5900879999999</v>
      </c>
      <c r="C161" s="5">
        <f t="shared" si="2"/>
        <v>4.6151489080888206E-3</v>
      </c>
    </row>
    <row r="162" spans="1:3">
      <c r="A162" s="3">
        <v>42978</v>
      </c>
      <c r="B162" s="4">
        <v>2471.6499020000001</v>
      </c>
      <c r="C162" s="5">
        <f t="shared" si="2"/>
        <v>5.7209760360980863E-3</v>
      </c>
    </row>
    <row r="163" spans="1:3">
      <c r="A163" s="3">
        <v>42979</v>
      </c>
      <c r="B163" s="4">
        <v>2476.5500489999999</v>
      </c>
      <c r="C163" s="5">
        <f t="shared" si="2"/>
        <v>1.9825408914242878E-3</v>
      </c>
    </row>
    <row r="164" spans="1:3">
      <c r="A164" s="3">
        <v>42983</v>
      </c>
      <c r="B164" s="4">
        <v>2457.8500979999999</v>
      </c>
      <c r="C164" s="5">
        <f t="shared" si="2"/>
        <v>-7.5508068199755798E-3</v>
      </c>
    </row>
    <row r="165" spans="1:3">
      <c r="A165" s="3">
        <v>42984</v>
      </c>
      <c r="B165" s="4">
        <v>2465.540039</v>
      </c>
      <c r="C165" s="5">
        <f t="shared" si="2"/>
        <v>3.1287266079642298E-3</v>
      </c>
    </row>
    <row r="166" spans="1:3">
      <c r="A166" s="3">
        <v>42985</v>
      </c>
      <c r="B166" s="4">
        <v>2465.1000979999999</v>
      </c>
      <c r="C166" s="5">
        <f t="shared" si="2"/>
        <v>-1.784359584679573E-4</v>
      </c>
    </row>
    <row r="167" spans="1:3">
      <c r="A167" s="3">
        <v>42986</v>
      </c>
      <c r="B167" s="4">
        <v>2461.429932</v>
      </c>
      <c r="C167" s="5">
        <f t="shared" si="2"/>
        <v>-1.4888506973723228E-3</v>
      </c>
    </row>
    <row r="168" spans="1:3">
      <c r="A168" s="3">
        <v>42989</v>
      </c>
      <c r="B168" s="4">
        <v>2488.110107</v>
      </c>
      <c r="C168" s="5">
        <f t="shared" si="2"/>
        <v>1.0839298999797799E-2</v>
      </c>
    </row>
    <row r="169" spans="1:3">
      <c r="A169" s="3">
        <v>42990</v>
      </c>
      <c r="B169" s="4">
        <v>2496.4799800000001</v>
      </c>
      <c r="C169" s="5">
        <f t="shared" si="2"/>
        <v>3.3639479926762333E-3</v>
      </c>
    </row>
    <row r="170" spans="1:3">
      <c r="A170" s="3">
        <v>42991</v>
      </c>
      <c r="B170" s="4">
        <v>2498.3701169999999</v>
      </c>
      <c r="C170" s="5">
        <f t="shared" si="2"/>
        <v>7.571208321886354E-4</v>
      </c>
    </row>
    <row r="171" spans="1:3">
      <c r="A171" s="3">
        <v>42992</v>
      </c>
      <c r="B171" s="4">
        <v>2495.6201169999999</v>
      </c>
      <c r="C171" s="5">
        <f t="shared" si="2"/>
        <v>-1.1007176163722904E-3</v>
      </c>
    </row>
    <row r="172" spans="1:3">
      <c r="A172" s="3">
        <v>42993</v>
      </c>
      <c r="B172" s="4">
        <v>2500.2299800000001</v>
      </c>
      <c r="C172" s="5">
        <f t="shared" si="2"/>
        <v>1.8471813753215278E-3</v>
      </c>
    </row>
    <row r="173" spans="1:3">
      <c r="A173" s="3">
        <v>42996</v>
      </c>
      <c r="B173" s="4">
        <v>2503.8701169999999</v>
      </c>
      <c r="C173" s="5">
        <f t="shared" si="2"/>
        <v>1.4559208669275567E-3</v>
      </c>
    </row>
    <row r="174" spans="1:3">
      <c r="A174" s="3">
        <v>42997</v>
      </c>
      <c r="B174" s="4">
        <v>2506.6499020000001</v>
      </c>
      <c r="C174" s="5">
        <f t="shared" si="2"/>
        <v>1.1101953656169517E-3</v>
      </c>
    </row>
    <row r="175" spans="1:3">
      <c r="A175" s="3">
        <v>42998</v>
      </c>
      <c r="B175" s="4">
        <v>2508.23999</v>
      </c>
      <c r="C175" s="5">
        <f t="shared" si="2"/>
        <v>6.3434785955997588E-4</v>
      </c>
    </row>
    <row r="176" spans="1:3">
      <c r="A176" s="3">
        <v>42999</v>
      </c>
      <c r="B176" s="4">
        <v>2500.6000979999999</v>
      </c>
      <c r="C176" s="5">
        <f t="shared" si="2"/>
        <v>-3.0459174682085127E-3</v>
      </c>
    </row>
    <row r="177" spans="1:3">
      <c r="A177" s="3">
        <v>43000</v>
      </c>
      <c r="B177" s="4">
        <v>2502.219971</v>
      </c>
      <c r="C177" s="5">
        <f t="shared" si="2"/>
        <v>6.4779370411753774E-4</v>
      </c>
    </row>
    <row r="178" spans="1:3">
      <c r="A178" s="3">
        <v>43003</v>
      </c>
      <c r="B178" s="4">
        <v>2496.6599120000001</v>
      </c>
      <c r="C178" s="5">
        <f t="shared" si="2"/>
        <v>-2.2220504449806063E-3</v>
      </c>
    </row>
    <row r="179" spans="1:3">
      <c r="A179" s="3">
        <v>43004</v>
      </c>
      <c r="B179" s="4">
        <v>2496.8400879999999</v>
      </c>
      <c r="C179" s="5">
        <f t="shared" si="2"/>
        <v>7.2166817408268093E-5</v>
      </c>
    </row>
    <row r="180" spans="1:3">
      <c r="A180" s="3">
        <v>43005</v>
      </c>
      <c r="B180" s="4">
        <v>2507.040039</v>
      </c>
      <c r="C180" s="5">
        <f t="shared" si="2"/>
        <v>4.0851438780648321E-3</v>
      </c>
    </row>
    <row r="181" spans="1:3">
      <c r="A181" s="3">
        <v>43006</v>
      </c>
      <c r="B181" s="4">
        <v>2510.0600589999999</v>
      </c>
      <c r="C181" s="5">
        <f t="shared" si="2"/>
        <v>1.2046157831625804E-3</v>
      </c>
    </row>
    <row r="182" spans="1:3">
      <c r="A182" s="3">
        <v>43007</v>
      </c>
      <c r="B182" s="4">
        <v>2519.360107</v>
      </c>
      <c r="C182" s="5">
        <f t="shared" si="2"/>
        <v>3.7051097509217252E-3</v>
      </c>
    </row>
    <row r="183" spans="1:3">
      <c r="A183" s="3">
        <v>43010</v>
      </c>
      <c r="B183" s="4">
        <v>2529.1201169999999</v>
      </c>
      <c r="C183" s="5">
        <f t="shared" si="2"/>
        <v>3.8740035506960443E-3</v>
      </c>
    </row>
    <row r="184" spans="1:3">
      <c r="A184" s="3">
        <v>43011</v>
      </c>
      <c r="B184" s="4">
        <v>2534.580078</v>
      </c>
      <c r="C184" s="5">
        <f t="shared" si="2"/>
        <v>2.1588381521699079E-3</v>
      </c>
    </row>
    <row r="185" spans="1:3">
      <c r="A185" s="3">
        <v>43012</v>
      </c>
      <c r="B185" s="4">
        <v>2537.73999</v>
      </c>
      <c r="C185" s="5">
        <f t="shared" si="2"/>
        <v>1.2467201282878846E-3</v>
      </c>
    </row>
    <row r="186" spans="1:3">
      <c r="A186" s="3">
        <v>43013</v>
      </c>
      <c r="B186" s="4">
        <v>2552.070068</v>
      </c>
      <c r="C186" s="5">
        <f t="shared" si="2"/>
        <v>5.6467873211865005E-3</v>
      </c>
    </row>
    <row r="187" spans="1:3">
      <c r="A187" s="3">
        <v>43014</v>
      </c>
      <c r="B187" s="4">
        <v>2549.330078</v>
      </c>
      <c r="C187" s="5">
        <f t="shared" si="2"/>
        <v>-1.0736343152785389E-3</v>
      </c>
    </row>
    <row r="188" spans="1:3">
      <c r="A188" s="3">
        <v>43017</v>
      </c>
      <c r="B188" s="4">
        <v>2544.7299800000001</v>
      </c>
      <c r="C188" s="5">
        <f t="shared" si="2"/>
        <v>-1.8044340510071403E-3</v>
      </c>
    </row>
    <row r="189" spans="1:3">
      <c r="A189" s="3">
        <v>43018</v>
      </c>
      <c r="B189" s="4">
        <v>2550.639893</v>
      </c>
      <c r="C189" s="5">
        <f t="shared" si="2"/>
        <v>2.3224126121231771E-3</v>
      </c>
    </row>
    <row r="190" spans="1:3">
      <c r="A190" s="3">
        <v>43019</v>
      </c>
      <c r="B190" s="4">
        <v>2555.23999</v>
      </c>
      <c r="C190" s="5">
        <f t="shared" si="2"/>
        <v>1.8035070386158997E-3</v>
      </c>
    </row>
    <row r="191" spans="1:3">
      <c r="A191" s="3">
        <v>43020</v>
      </c>
      <c r="B191" s="4">
        <v>2550.929932</v>
      </c>
      <c r="C191" s="5">
        <f t="shared" si="2"/>
        <v>-1.6867527186751748E-3</v>
      </c>
    </row>
    <row r="192" spans="1:3">
      <c r="A192" s="3">
        <v>43021</v>
      </c>
      <c r="B192" s="4">
        <v>2553.169922</v>
      </c>
      <c r="C192" s="5">
        <f t="shared" si="2"/>
        <v>8.7810722352684139E-4</v>
      </c>
    </row>
    <row r="193" spans="1:3">
      <c r="A193" s="3">
        <v>43024</v>
      </c>
      <c r="B193" s="4">
        <v>2557.639893</v>
      </c>
      <c r="C193" s="5">
        <f t="shared" si="2"/>
        <v>1.7507534306602202E-3</v>
      </c>
    </row>
    <row r="194" spans="1:3">
      <c r="A194" s="3">
        <v>43025</v>
      </c>
      <c r="B194" s="4">
        <v>2559.360107</v>
      </c>
      <c r="C194" s="5">
        <f t="shared" si="2"/>
        <v>6.7257865530952665E-4</v>
      </c>
    </row>
    <row r="195" spans="1:3">
      <c r="A195" s="3">
        <v>43026</v>
      </c>
      <c r="B195" s="4">
        <v>2561.26001</v>
      </c>
      <c r="C195" s="5">
        <f t="shared" si="2"/>
        <v>7.423351621382425E-4</v>
      </c>
    </row>
    <row r="196" spans="1:3">
      <c r="A196" s="3">
        <v>43027</v>
      </c>
      <c r="B196" s="4">
        <v>2562.1000979999999</v>
      </c>
      <c r="C196" s="5">
        <f t="shared" ref="C196:C254" si="3">(B196-B195)/B195</f>
        <v>3.2799793723399577E-4</v>
      </c>
    </row>
    <row r="197" spans="1:3">
      <c r="A197" s="3">
        <v>43028</v>
      </c>
      <c r="B197" s="4">
        <v>2575.209961</v>
      </c>
      <c r="C197" s="5">
        <f t="shared" si="3"/>
        <v>5.1168426285272059E-3</v>
      </c>
    </row>
    <row r="198" spans="1:3">
      <c r="A198" s="3">
        <v>43031</v>
      </c>
      <c r="B198" s="4">
        <v>2564.9799800000001</v>
      </c>
      <c r="C198" s="5">
        <f t="shared" si="3"/>
        <v>-3.9724842459165806E-3</v>
      </c>
    </row>
    <row r="199" spans="1:3">
      <c r="A199" s="3">
        <v>43032</v>
      </c>
      <c r="B199" s="4">
        <v>2569.1298830000001</v>
      </c>
      <c r="C199" s="5">
        <f t="shared" si="3"/>
        <v>1.6179085343192405E-3</v>
      </c>
    </row>
    <row r="200" spans="1:3">
      <c r="A200" s="3">
        <v>43033</v>
      </c>
      <c r="B200" s="4">
        <v>2557.1499020000001</v>
      </c>
      <c r="C200" s="5">
        <f t="shared" si="3"/>
        <v>-4.6630499607169737E-3</v>
      </c>
    </row>
    <row r="201" spans="1:3">
      <c r="A201" s="3">
        <v>43034</v>
      </c>
      <c r="B201" s="4">
        <v>2560.3999020000001</v>
      </c>
      <c r="C201" s="5">
        <f t="shared" si="3"/>
        <v>1.2709462192490584E-3</v>
      </c>
    </row>
    <row r="202" spans="1:3">
      <c r="A202" s="3">
        <v>43035</v>
      </c>
      <c r="B202" s="4">
        <v>2581.070068</v>
      </c>
      <c r="C202" s="5">
        <f t="shared" si="3"/>
        <v>8.0730224930308098E-3</v>
      </c>
    </row>
    <row r="203" spans="1:3">
      <c r="A203" s="3">
        <v>43038</v>
      </c>
      <c r="B203" s="4">
        <v>2572.830078</v>
      </c>
      <c r="C203" s="5">
        <f t="shared" si="3"/>
        <v>-3.1924704804255763E-3</v>
      </c>
    </row>
    <row r="204" spans="1:3">
      <c r="A204" s="3">
        <v>43039</v>
      </c>
      <c r="B204" s="4">
        <v>2575.26001</v>
      </c>
      <c r="C204" s="5">
        <f t="shared" si="3"/>
        <v>9.4445879686268501E-4</v>
      </c>
    </row>
    <row r="205" spans="1:3">
      <c r="A205" s="3">
        <v>43040</v>
      </c>
      <c r="B205" s="4">
        <v>2579.360107</v>
      </c>
      <c r="C205" s="5">
        <f t="shared" si="3"/>
        <v>1.5921099166992482E-3</v>
      </c>
    </row>
    <row r="206" spans="1:3">
      <c r="A206" s="3">
        <v>43041</v>
      </c>
      <c r="B206" s="4">
        <v>2579.8500979999999</v>
      </c>
      <c r="C206" s="5">
        <f t="shared" si="3"/>
        <v>1.8996610774515562E-4</v>
      </c>
    </row>
    <row r="207" spans="1:3">
      <c r="A207" s="3">
        <v>43042</v>
      </c>
      <c r="B207" s="4">
        <v>2587.8400879999999</v>
      </c>
      <c r="C207" s="5">
        <f t="shared" si="3"/>
        <v>3.0970752937134545E-3</v>
      </c>
    </row>
    <row r="208" spans="1:3">
      <c r="A208" s="3">
        <v>43045</v>
      </c>
      <c r="B208" s="4">
        <v>2591.1298830000001</v>
      </c>
      <c r="C208" s="5">
        <f t="shared" si="3"/>
        <v>1.2712512706079312E-3</v>
      </c>
    </row>
    <row r="209" spans="1:3">
      <c r="A209" s="3">
        <v>43046</v>
      </c>
      <c r="B209" s="4">
        <v>2590.639893</v>
      </c>
      <c r="C209" s="5">
        <f t="shared" si="3"/>
        <v>-1.8910283240326255E-4</v>
      </c>
    </row>
    <row r="210" spans="1:3">
      <c r="A210" s="3">
        <v>43047</v>
      </c>
      <c r="B210" s="4">
        <v>2594.3798830000001</v>
      </c>
      <c r="C210" s="5">
        <f t="shared" si="3"/>
        <v>1.4436549093934741E-3</v>
      </c>
    </row>
    <row r="211" spans="1:3">
      <c r="A211" s="3">
        <v>43048</v>
      </c>
      <c r="B211" s="4">
        <v>2584.6201169999999</v>
      </c>
      <c r="C211" s="5">
        <f t="shared" si="3"/>
        <v>-3.7618877882734979E-3</v>
      </c>
    </row>
    <row r="212" spans="1:3">
      <c r="A212" s="3">
        <v>43049</v>
      </c>
      <c r="B212" s="4">
        <v>2582.3000489999999</v>
      </c>
      <c r="C212" s="5">
        <f t="shared" si="3"/>
        <v>-8.9764371357324384E-4</v>
      </c>
    </row>
    <row r="213" spans="1:3">
      <c r="A213" s="3">
        <v>43052</v>
      </c>
      <c r="B213" s="4">
        <v>2584.8400879999999</v>
      </c>
      <c r="C213" s="5">
        <f t="shared" si="3"/>
        <v>9.8363433830379746E-4</v>
      </c>
    </row>
    <row r="214" spans="1:3">
      <c r="A214" s="3">
        <v>43053</v>
      </c>
      <c r="B214" s="4">
        <v>2578.8701169999999</v>
      </c>
      <c r="C214" s="5">
        <f t="shared" si="3"/>
        <v>-2.3096094136404416E-3</v>
      </c>
    </row>
    <row r="215" spans="1:3">
      <c r="A215" s="3">
        <v>43054</v>
      </c>
      <c r="B215" s="4">
        <v>2564.6201169999999</v>
      </c>
      <c r="C215" s="5">
        <f t="shared" si="3"/>
        <v>-5.5256757236680949E-3</v>
      </c>
    </row>
    <row r="216" spans="1:3">
      <c r="A216" s="3">
        <v>43055</v>
      </c>
      <c r="B216" s="4">
        <v>2585.639893</v>
      </c>
      <c r="C216" s="5">
        <f t="shared" si="3"/>
        <v>8.1960583014486638E-3</v>
      </c>
    </row>
    <row r="217" spans="1:3">
      <c r="A217" s="3">
        <v>43056</v>
      </c>
      <c r="B217" s="4">
        <v>2578.8500979999999</v>
      </c>
      <c r="C217" s="5">
        <f t="shared" si="3"/>
        <v>-2.6259631197607532E-3</v>
      </c>
    </row>
    <row r="218" spans="1:3">
      <c r="A218" s="3">
        <v>43059</v>
      </c>
      <c r="B218" s="4">
        <v>2582.139893</v>
      </c>
      <c r="C218" s="5">
        <f t="shared" si="3"/>
        <v>1.2756829109809469E-3</v>
      </c>
    </row>
    <row r="219" spans="1:3">
      <c r="A219" s="3">
        <v>43060</v>
      </c>
      <c r="B219" s="4">
        <v>2599.030029</v>
      </c>
      <c r="C219" s="5">
        <f t="shared" si="3"/>
        <v>6.5411390164366989E-3</v>
      </c>
    </row>
    <row r="220" spans="1:3">
      <c r="A220" s="3">
        <v>43061</v>
      </c>
      <c r="B220" s="4">
        <v>2597.080078</v>
      </c>
      <c r="C220" s="5">
        <f t="shared" si="3"/>
        <v>-7.5026105056212708E-4</v>
      </c>
    </row>
    <row r="221" spans="1:3">
      <c r="A221" s="3">
        <v>43063</v>
      </c>
      <c r="B221" s="4">
        <v>2602.419922</v>
      </c>
      <c r="C221" s="5">
        <f t="shared" si="3"/>
        <v>2.0560952452849568E-3</v>
      </c>
    </row>
    <row r="222" spans="1:3">
      <c r="A222" s="3">
        <v>43066</v>
      </c>
      <c r="B222" s="4">
        <v>2601.419922</v>
      </c>
      <c r="C222" s="5">
        <f t="shared" si="3"/>
        <v>-3.8425774086123829E-4</v>
      </c>
    </row>
    <row r="223" spans="1:3">
      <c r="A223" s="3">
        <v>43067</v>
      </c>
      <c r="B223" s="4">
        <v>2627.040039</v>
      </c>
      <c r="C223" s="5">
        <f t="shared" si="3"/>
        <v>9.8485126462408701E-3</v>
      </c>
    </row>
    <row r="224" spans="1:3">
      <c r="A224" s="3">
        <v>43068</v>
      </c>
      <c r="B224" s="4">
        <v>2626.070068</v>
      </c>
      <c r="C224" s="5">
        <f t="shared" si="3"/>
        <v>-3.6922581521414976E-4</v>
      </c>
    </row>
    <row r="225" spans="1:3">
      <c r="A225" s="3">
        <v>43069</v>
      </c>
      <c r="B225" s="4">
        <v>2647.580078</v>
      </c>
      <c r="C225" s="5">
        <f t="shared" si="3"/>
        <v>8.1909505241731292E-3</v>
      </c>
    </row>
    <row r="226" spans="1:3">
      <c r="A226" s="3">
        <v>43070</v>
      </c>
      <c r="B226" s="4">
        <v>2642.219971</v>
      </c>
      <c r="C226" s="5">
        <f t="shared" si="3"/>
        <v>-2.0245306438659381E-3</v>
      </c>
    </row>
    <row r="227" spans="1:3">
      <c r="A227" s="3">
        <v>43073</v>
      </c>
      <c r="B227" s="4">
        <v>2639.4399410000001</v>
      </c>
      <c r="C227" s="5">
        <f t="shared" si="3"/>
        <v>-1.0521569099138026E-3</v>
      </c>
    </row>
    <row r="228" spans="1:3">
      <c r="A228" s="3">
        <v>43074</v>
      </c>
      <c r="B228" s="4">
        <v>2629.570068</v>
      </c>
      <c r="C228" s="5">
        <f t="shared" si="3"/>
        <v>-3.7393815432908528E-3</v>
      </c>
    </row>
    <row r="229" spans="1:3">
      <c r="A229" s="3">
        <v>43075</v>
      </c>
      <c r="B229" s="4">
        <v>2629.2700199999999</v>
      </c>
      <c r="C229" s="5">
        <f t="shared" si="3"/>
        <v>-1.1410534507196889E-4</v>
      </c>
    </row>
    <row r="230" spans="1:3">
      <c r="A230" s="3">
        <v>43076</v>
      </c>
      <c r="B230" s="4">
        <v>2636.9799800000001</v>
      </c>
      <c r="C230" s="5">
        <f t="shared" si="3"/>
        <v>2.9323576282972025E-3</v>
      </c>
    </row>
    <row r="231" spans="1:3">
      <c r="A231" s="3">
        <v>43077</v>
      </c>
      <c r="B231" s="4">
        <v>2651.5</v>
      </c>
      <c r="C231" s="5">
        <f t="shared" si="3"/>
        <v>5.5063064983906064E-3</v>
      </c>
    </row>
    <row r="232" spans="1:3">
      <c r="A232" s="3">
        <v>43080</v>
      </c>
      <c r="B232" s="4">
        <v>2659.98999</v>
      </c>
      <c r="C232" s="5">
        <f t="shared" si="3"/>
        <v>3.2019573826136279E-3</v>
      </c>
    </row>
    <row r="233" spans="1:3">
      <c r="A233" s="3">
        <v>43081</v>
      </c>
      <c r="B233" s="4">
        <v>2664.110107</v>
      </c>
      <c r="C233" s="5">
        <f t="shared" si="3"/>
        <v>1.5489219942515409E-3</v>
      </c>
    </row>
    <row r="234" spans="1:3">
      <c r="A234" s="3">
        <v>43082</v>
      </c>
      <c r="B234" s="4">
        <v>2662.8500979999999</v>
      </c>
      <c r="C234" s="5">
        <f t="shared" si="3"/>
        <v>-4.7295680335785833E-4</v>
      </c>
    </row>
    <row r="235" spans="1:3">
      <c r="A235" s="3">
        <v>43083</v>
      </c>
      <c r="B235" s="4">
        <v>2652.01001</v>
      </c>
      <c r="C235" s="5">
        <f t="shared" si="3"/>
        <v>-4.0708592677228218E-3</v>
      </c>
    </row>
    <row r="236" spans="1:3">
      <c r="A236" s="3">
        <v>43084</v>
      </c>
      <c r="B236" s="4">
        <v>2675.8100589999999</v>
      </c>
      <c r="C236" s="5">
        <f t="shared" si="3"/>
        <v>8.9743435772325561E-3</v>
      </c>
    </row>
    <row r="237" spans="1:3">
      <c r="A237" s="3">
        <v>43087</v>
      </c>
      <c r="B237" s="4">
        <v>2690.1599120000001</v>
      </c>
      <c r="C237" s="5">
        <f t="shared" si="3"/>
        <v>5.3628070317378856E-3</v>
      </c>
    </row>
    <row r="238" spans="1:3">
      <c r="A238" s="3">
        <v>43088</v>
      </c>
      <c r="B238" s="4">
        <v>2681.469971</v>
      </c>
      <c r="C238" s="5">
        <f t="shared" si="3"/>
        <v>-3.2302693089867477E-3</v>
      </c>
    </row>
    <row r="239" spans="1:3">
      <c r="A239" s="3">
        <v>43089</v>
      </c>
      <c r="B239" s="4">
        <v>2679.25</v>
      </c>
      <c r="C239" s="5">
        <f t="shared" si="3"/>
        <v>-8.2789329136961898E-4</v>
      </c>
    </row>
    <row r="240" spans="1:3">
      <c r="A240" s="3">
        <v>43090</v>
      </c>
      <c r="B240" s="4">
        <v>2684.570068</v>
      </c>
      <c r="C240" s="5">
        <f t="shared" si="3"/>
        <v>1.9856556872258997E-3</v>
      </c>
    </row>
    <row r="241" spans="1:3">
      <c r="A241" s="3">
        <v>43091</v>
      </c>
      <c r="B241" s="4">
        <v>2683.3400879999999</v>
      </c>
      <c r="C241" s="5">
        <f t="shared" si="3"/>
        <v>-4.5816647315761875E-4</v>
      </c>
    </row>
    <row r="242" spans="1:3">
      <c r="A242" s="3">
        <v>43095</v>
      </c>
      <c r="B242" s="4">
        <v>2680.5</v>
      </c>
      <c r="C242" s="5">
        <f t="shared" si="3"/>
        <v>-1.0584152238849284E-3</v>
      </c>
    </row>
    <row r="243" spans="1:3">
      <c r="A243" s="3">
        <v>43096</v>
      </c>
      <c r="B243" s="4">
        <v>2682.6201169999999</v>
      </c>
      <c r="C243" s="5">
        <f t="shared" si="3"/>
        <v>7.9094086924078955E-4</v>
      </c>
    </row>
    <row r="244" spans="1:3">
      <c r="A244" s="3">
        <v>43097</v>
      </c>
      <c r="B244" s="4">
        <v>2687.540039</v>
      </c>
      <c r="C244" s="5">
        <f t="shared" si="3"/>
        <v>1.8339987718805444E-3</v>
      </c>
    </row>
    <row r="245" spans="1:3">
      <c r="A245" s="3">
        <v>43098</v>
      </c>
      <c r="B245" s="4">
        <v>2673.610107</v>
      </c>
      <c r="C245" s="5">
        <f t="shared" si="3"/>
        <v>-5.1831532918047846E-3</v>
      </c>
    </row>
    <row r="246" spans="1:3">
      <c r="A246" s="3">
        <v>43102</v>
      </c>
      <c r="B246" s="4">
        <v>2695.8100589999999</v>
      </c>
      <c r="C246" s="5">
        <f t="shared" si="3"/>
        <v>8.3033617885705947E-3</v>
      </c>
    </row>
    <row r="247" spans="1:3">
      <c r="A247" s="3">
        <v>43103</v>
      </c>
      <c r="B247" s="4">
        <v>2713.0600589999999</v>
      </c>
      <c r="C247" s="5">
        <f t="shared" si="3"/>
        <v>6.3988187678173511E-3</v>
      </c>
    </row>
    <row r="248" spans="1:3">
      <c r="A248" s="3">
        <v>43104</v>
      </c>
      <c r="B248" s="4">
        <v>2723.98999</v>
      </c>
      <c r="C248" s="5">
        <f t="shared" si="3"/>
        <v>4.0286358437744132E-3</v>
      </c>
    </row>
    <row r="249" spans="1:3">
      <c r="A249" s="3">
        <v>43105</v>
      </c>
      <c r="B249" s="4">
        <v>2743.1499020000001</v>
      </c>
      <c r="C249" s="5">
        <f t="shared" si="3"/>
        <v>7.0337674038222428E-3</v>
      </c>
    </row>
    <row r="250" spans="1:3">
      <c r="A250" s="3">
        <v>43108</v>
      </c>
      <c r="B250" s="4">
        <v>2747.709961</v>
      </c>
      <c r="C250" s="5">
        <f t="shared" si="3"/>
        <v>1.6623440799480996E-3</v>
      </c>
    </row>
    <row r="251" spans="1:3">
      <c r="A251" s="3">
        <v>43109</v>
      </c>
      <c r="B251" s="4">
        <v>2751.290039</v>
      </c>
      <c r="C251" s="5">
        <f t="shared" si="3"/>
        <v>1.3029315505691242E-3</v>
      </c>
    </row>
    <row r="252" spans="1:3">
      <c r="A252" s="3">
        <v>43110</v>
      </c>
      <c r="B252" s="4">
        <v>2748.2299800000001</v>
      </c>
      <c r="C252" s="5">
        <f t="shared" si="3"/>
        <v>-1.1122269759360366E-3</v>
      </c>
    </row>
    <row r="253" spans="1:3">
      <c r="A253" s="3">
        <v>43111</v>
      </c>
      <c r="B253" s="4">
        <v>2767.5600589999999</v>
      </c>
      <c r="C253" s="5">
        <f t="shared" si="3"/>
        <v>7.0336467983657764E-3</v>
      </c>
    </row>
    <row r="254" spans="1:3">
      <c r="A254" s="3">
        <v>43112</v>
      </c>
      <c r="B254" s="4">
        <v>2786.23999</v>
      </c>
      <c r="C254" s="5">
        <f t="shared" si="3"/>
        <v>6.7496027554139974E-3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54"/>
  <sheetViews>
    <sheetView workbookViewId="0">
      <selection activeCell="C3" sqref="C3"/>
    </sheetView>
  </sheetViews>
  <sheetFormatPr defaultRowHeight="14"/>
  <cols>
    <col min="1" max="1" width="10.4140625" bestFit="1" customWidth="1"/>
    <col min="2" max="2" width="26.1640625" style="8" bestFit="1" customWidth="1"/>
    <col min="3" max="3" width="8.6640625" style="8"/>
  </cols>
  <sheetData>
    <row r="1" spans="1:3" ht="14.5" thickBot="1">
      <c r="A1" s="1" t="s">
        <v>0</v>
      </c>
      <c r="B1" s="7" t="s">
        <v>2</v>
      </c>
      <c r="C1" s="8" t="s">
        <v>3</v>
      </c>
    </row>
    <row r="2" spans="1:3">
      <c r="A2" s="3">
        <v>42747</v>
      </c>
      <c r="B2" s="9">
        <v>95.900002000000001</v>
      </c>
    </row>
    <row r="3" spans="1:3">
      <c r="A3" s="3">
        <v>42748</v>
      </c>
      <c r="B3" s="9">
        <v>96.269997000000004</v>
      </c>
      <c r="C3" s="8">
        <f>(B3-B2)/B2</f>
        <v>3.8581333919054865E-3</v>
      </c>
    </row>
    <row r="4" spans="1:3">
      <c r="A4" s="3">
        <v>42752</v>
      </c>
      <c r="B4" s="9">
        <v>96.120002999999997</v>
      </c>
      <c r="C4" s="8">
        <f t="shared" ref="C4:C67" si="0">(B4-B3)/B3</f>
        <v>-1.5580555175462051E-3</v>
      </c>
    </row>
    <row r="5" spans="1:3">
      <c r="A5" s="3">
        <v>42753</v>
      </c>
      <c r="B5" s="9">
        <v>96</v>
      </c>
      <c r="C5" s="8">
        <f t="shared" si="0"/>
        <v>-1.248470622706878E-3</v>
      </c>
    </row>
    <row r="6" spans="1:3">
      <c r="A6" s="3">
        <v>42754</v>
      </c>
      <c r="B6" s="9">
        <v>96.169998000000007</v>
      </c>
      <c r="C6" s="8">
        <f t="shared" si="0"/>
        <v>1.7708125000000703E-3</v>
      </c>
    </row>
    <row r="7" spans="1:3">
      <c r="A7" s="3">
        <v>42755</v>
      </c>
      <c r="B7" s="9">
        <v>96.059997999999993</v>
      </c>
      <c r="C7" s="8">
        <f t="shared" si="0"/>
        <v>-1.1438078640701817E-3</v>
      </c>
    </row>
    <row r="8" spans="1:3">
      <c r="A8" s="3">
        <v>42758</v>
      </c>
      <c r="B8" s="9">
        <v>98.410004000000001</v>
      </c>
      <c r="C8" s="8">
        <f t="shared" si="0"/>
        <v>2.4463939714010903E-2</v>
      </c>
    </row>
    <row r="9" spans="1:3">
      <c r="A9" s="3">
        <v>42759</v>
      </c>
      <c r="B9" s="9">
        <v>101.43</v>
      </c>
      <c r="C9" s="8">
        <f t="shared" si="0"/>
        <v>3.0687896324036387E-2</v>
      </c>
    </row>
    <row r="10" spans="1:3">
      <c r="A10" s="3">
        <v>42760</v>
      </c>
      <c r="B10" s="9">
        <v>104.05999799999999</v>
      </c>
      <c r="C10" s="8">
        <f t="shared" si="0"/>
        <v>2.5929192546583713E-2</v>
      </c>
    </row>
    <row r="11" spans="1:3">
      <c r="A11" s="3">
        <v>42761</v>
      </c>
      <c r="B11" s="9">
        <v>102.75</v>
      </c>
      <c r="C11" s="8">
        <f t="shared" si="0"/>
        <v>-1.2588872046682081E-2</v>
      </c>
    </row>
    <row r="12" spans="1:3">
      <c r="A12" s="3">
        <v>42762</v>
      </c>
      <c r="B12" s="9">
        <v>102.07</v>
      </c>
      <c r="C12" s="8">
        <f t="shared" si="0"/>
        <v>-6.6180048661801149E-3</v>
      </c>
    </row>
    <row r="13" spans="1:3">
      <c r="A13" s="3">
        <v>42765</v>
      </c>
      <c r="B13" s="9">
        <v>101.019997</v>
      </c>
      <c r="C13" s="8">
        <f t="shared" si="0"/>
        <v>-1.028708729303409E-2</v>
      </c>
    </row>
    <row r="14" spans="1:3">
      <c r="A14" s="3">
        <v>42766</v>
      </c>
      <c r="B14" s="9">
        <v>101.30999799999999</v>
      </c>
      <c r="C14" s="8">
        <f t="shared" si="0"/>
        <v>2.8707286538524595E-3</v>
      </c>
    </row>
    <row r="15" spans="1:3">
      <c r="A15" s="3">
        <v>42767</v>
      </c>
      <c r="B15" s="9">
        <v>101.57</v>
      </c>
      <c r="C15" s="8">
        <f t="shared" si="0"/>
        <v>2.5664002085954052E-3</v>
      </c>
    </row>
    <row r="16" spans="1:3">
      <c r="A16" s="3">
        <v>42768</v>
      </c>
      <c r="B16" s="9">
        <v>100.839996</v>
      </c>
      <c r="C16" s="8">
        <f t="shared" si="0"/>
        <v>-7.1872009451609126E-3</v>
      </c>
    </row>
    <row r="17" spans="1:3">
      <c r="A17" s="3">
        <v>42769</v>
      </c>
      <c r="B17" s="9">
        <v>100.389999</v>
      </c>
      <c r="C17" s="8">
        <f t="shared" si="0"/>
        <v>-4.4624853019628857E-3</v>
      </c>
    </row>
    <row r="18" spans="1:3">
      <c r="A18" s="3">
        <v>42772</v>
      </c>
      <c r="B18" s="9">
        <v>100.900002</v>
      </c>
      <c r="C18" s="8">
        <f t="shared" si="0"/>
        <v>5.0802172037076876E-3</v>
      </c>
    </row>
    <row r="19" spans="1:3">
      <c r="A19" s="3">
        <v>42773</v>
      </c>
      <c r="B19" s="9">
        <v>100.83000199999999</v>
      </c>
      <c r="C19" s="8">
        <f t="shared" si="0"/>
        <v>-6.9375618050044631E-4</v>
      </c>
    </row>
    <row r="20" spans="1:3">
      <c r="A20" s="3">
        <v>42774</v>
      </c>
      <c r="B20" s="9">
        <v>103.57</v>
      </c>
      <c r="C20" s="8">
        <f t="shared" si="0"/>
        <v>2.7174431673620318E-2</v>
      </c>
    </row>
    <row r="21" spans="1:3">
      <c r="A21" s="3">
        <v>42775</v>
      </c>
      <c r="B21" s="9">
        <v>103.339996</v>
      </c>
      <c r="C21" s="8">
        <f t="shared" si="0"/>
        <v>-2.2207589070193483E-3</v>
      </c>
    </row>
    <row r="22" spans="1:3">
      <c r="A22" s="3">
        <v>42776</v>
      </c>
      <c r="B22" s="9">
        <v>102.360001</v>
      </c>
      <c r="C22" s="8">
        <f t="shared" si="0"/>
        <v>-9.4832111276644763E-3</v>
      </c>
    </row>
    <row r="23" spans="1:3">
      <c r="A23" s="3">
        <v>42779</v>
      </c>
      <c r="B23" s="9">
        <v>103.099998</v>
      </c>
      <c r="C23" s="8">
        <f t="shared" si="0"/>
        <v>7.2293571001430775E-3</v>
      </c>
    </row>
    <row r="24" spans="1:3">
      <c r="A24" s="3">
        <v>42780</v>
      </c>
      <c r="B24" s="9">
        <v>101.589996</v>
      </c>
      <c r="C24" s="8">
        <f t="shared" si="0"/>
        <v>-1.4645994464519778E-2</v>
      </c>
    </row>
    <row r="25" spans="1:3">
      <c r="A25" s="3">
        <v>42781</v>
      </c>
      <c r="B25" s="9">
        <v>101.550003</v>
      </c>
      <c r="C25" s="8">
        <f t="shared" si="0"/>
        <v>-3.9367065237403402E-4</v>
      </c>
    </row>
    <row r="26" spans="1:3">
      <c r="A26" s="3">
        <v>42782</v>
      </c>
      <c r="B26" s="9">
        <v>100.82</v>
      </c>
      <c r="C26" s="8">
        <f t="shared" si="0"/>
        <v>-7.1886063853686998E-3</v>
      </c>
    </row>
    <row r="27" spans="1:3">
      <c r="A27" s="3">
        <v>42783</v>
      </c>
      <c r="B27" s="9">
        <v>100.519997</v>
      </c>
      <c r="C27" s="8">
        <f t="shared" si="0"/>
        <v>-2.9756298353500257E-3</v>
      </c>
    </row>
    <row r="28" spans="1:3">
      <c r="A28" s="3">
        <v>42787</v>
      </c>
      <c r="B28" s="9">
        <v>102.120003</v>
      </c>
      <c r="C28" s="8">
        <f t="shared" si="0"/>
        <v>1.5917290566572474E-2</v>
      </c>
    </row>
    <row r="29" spans="1:3">
      <c r="A29" s="3">
        <v>42788</v>
      </c>
      <c r="B29" s="9">
        <v>104.199997</v>
      </c>
      <c r="C29" s="8">
        <f t="shared" si="0"/>
        <v>2.0368134928472333E-2</v>
      </c>
    </row>
    <row r="30" spans="1:3">
      <c r="A30" s="3">
        <v>42789</v>
      </c>
      <c r="B30" s="9">
        <v>102.459999</v>
      </c>
      <c r="C30" s="8">
        <f t="shared" si="0"/>
        <v>-1.6698637716851372E-2</v>
      </c>
    </row>
    <row r="31" spans="1:3">
      <c r="A31" s="3">
        <v>42790</v>
      </c>
      <c r="B31" s="9">
        <v>102.949997</v>
      </c>
      <c r="C31" s="8">
        <f t="shared" si="0"/>
        <v>4.7823346162632696E-3</v>
      </c>
    </row>
    <row r="32" spans="1:3">
      <c r="A32" s="3">
        <v>42793</v>
      </c>
      <c r="B32" s="9">
        <v>103.599998</v>
      </c>
      <c r="C32" s="8">
        <f t="shared" si="0"/>
        <v>6.3137544336208497E-3</v>
      </c>
    </row>
    <row r="33" spans="1:3">
      <c r="A33" s="3">
        <v>42794</v>
      </c>
      <c r="B33" s="9">
        <v>102.900002</v>
      </c>
      <c r="C33" s="8">
        <f t="shared" si="0"/>
        <v>-6.7567182771567109E-3</v>
      </c>
    </row>
    <row r="34" spans="1:3">
      <c r="A34" s="3">
        <v>42795</v>
      </c>
      <c r="B34" s="9">
        <v>104.040001</v>
      </c>
      <c r="C34" s="8">
        <f t="shared" si="0"/>
        <v>1.107870726766364E-2</v>
      </c>
    </row>
    <row r="35" spans="1:3">
      <c r="A35" s="3">
        <v>42796</v>
      </c>
      <c r="B35" s="9">
        <v>103.19000200000001</v>
      </c>
      <c r="C35" s="8">
        <f t="shared" si="0"/>
        <v>-8.1699249503082647E-3</v>
      </c>
    </row>
    <row r="36" spans="1:3">
      <c r="A36" s="3">
        <v>42797</v>
      </c>
      <c r="B36" s="9">
        <v>103.30999799999999</v>
      </c>
      <c r="C36" s="8">
        <f t="shared" si="0"/>
        <v>1.1628645961261463E-3</v>
      </c>
    </row>
    <row r="37" spans="1:3">
      <c r="A37" s="3">
        <v>42800</v>
      </c>
      <c r="B37" s="9">
        <v>102.30999799999999</v>
      </c>
      <c r="C37" s="8">
        <f t="shared" si="0"/>
        <v>-9.6796052595025713E-3</v>
      </c>
    </row>
    <row r="38" spans="1:3">
      <c r="A38" s="3">
        <v>42801</v>
      </c>
      <c r="B38" s="9">
        <v>102.629997</v>
      </c>
      <c r="C38" s="8">
        <f t="shared" si="0"/>
        <v>3.1277392850697734E-3</v>
      </c>
    </row>
    <row r="39" spans="1:3">
      <c r="A39" s="3">
        <v>42802</v>
      </c>
      <c r="B39" s="9">
        <v>103.220001</v>
      </c>
      <c r="C39" s="8">
        <f t="shared" si="0"/>
        <v>5.748845534897495E-3</v>
      </c>
    </row>
    <row r="40" spans="1:3">
      <c r="A40" s="3">
        <v>42803</v>
      </c>
      <c r="B40" s="9">
        <v>103.239998</v>
      </c>
      <c r="C40" s="8">
        <f t="shared" si="0"/>
        <v>1.9373183303886615E-4</v>
      </c>
    </row>
    <row r="41" spans="1:3">
      <c r="A41" s="3">
        <v>42804</v>
      </c>
      <c r="B41" s="9">
        <v>103.389999</v>
      </c>
      <c r="C41" s="8">
        <f t="shared" si="0"/>
        <v>1.4529349370967942E-3</v>
      </c>
    </row>
    <row r="42" spans="1:3">
      <c r="A42" s="3">
        <v>42807</v>
      </c>
      <c r="B42" s="9">
        <v>105.18</v>
      </c>
      <c r="C42" s="8">
        <f t="shared" si="0"/>
        <v>1.7313096211559145E-2</v>
      </c>
    </row>
    <row r="43" spans="1:3">
      <c r="A43" s="3">
        <v>42808</v>
      </c>
      <c r="B43" s="9">
        <v>104.25</v>
      </c>
      <c r="C43" s="8">
        <f t="shared" si="0"/>
        <v>-8.8419851682830074E-3</v>
      </c>
    </row>
    <row r="44" spans="1:3">
      <c r="A44" s="3">
        <v>42809</v>
      </c>
      <c r="B44" s="9">
        <v>103.69000200000001</v>
      </c>
      <c r="C44" s="8">
        <f t="shared" si="0"/>
        <v>-5.3716834532373438E-3</v>
      </c>
    </row>
    <row r="45" spans="1:3">
      <c r="A45" s="3">
        <v>42810</v>
      </c>
      <c r="B45" s="9">
        <v>105.629997</v>
      </c>
      <c r="C45" s="8">
        <f t="shared" si="0"/>
        <v>1.8709566617618505E-2</v>
      </c>
    </row>
    <row r="46" spans="1:3">
      <c r="A46" s="3">
        <v>42811</v>
      </c>
      <c r="B46" s="9">
        <v>105.610001</v>
      </c>
      <c r="C46" s="8">
        <f t="shared" si="0"/>
        <v>-1.8930228692523886E-4</v>
      </c>
    </row>
    <row r="47" spans="1:3">
      <c r="A47" s="3">
        <v>42814</v>
      </c>
      <c r="B47" s="9">
        <v>107.25</v>
      </c>
      <c r="C47" s="8">
        <f t="shared" si="0"/>
        <v>1.5528822881083044E-2</v>
      </c>
    </row>
    <row r="48" spans="1:3">
      <c r="A48" s="3">
        <v>42815</v>
      </c>
      <c r="B48" s="9">
        <v>105.089996</v>
      </c>
      <c r="C48" s="8">
        <f t="shared" si="0"/>
        <v>-2.0139897435897443E-2</v>
      </c>
    </row>
    <row r="49" spans="1:3">
      <c r="A49" s="3">
        <v>42816</v>
      </c>
      <c r="B49" s="9">
        <v>106.089996</v>
      </c>
      <c r="C49" s="8">
        <f t="shared" si="0"/>
        <v>9.5156536117862265E-3</v>
      </c>
    </row>
    <row r="50" spans="1:3">
      <c r="A50" s="3">
        <v>42817</v>
      </c>
      <c r="B50" s="9">
        <v>108.25</v>
      </c>
      <c r="C50" s="8">
        <f t="shared" si="0"/>
        <v>2.0360110108779726E-2</v>
      </c>
    </row>
    <row r="51" spans="1:3">
      <c r="A51" s="3">
        <v>42818</v>
      </c>
      <c r="B51" s="9">
        <v>108.040001</v>
      </c>
      <c r="C51" s="8">
        <f t="shared" si="0"/>
        <v>-1.9399445727482335E-3</v>
      </c>
    </row>
    <row r="52" spans="1:3">
      <c r="A52" s="3">
        <v>42821</v>
      </c>
      <c r="B52" s="9">
        <v>108.08000199999999</v>
      </c>
      <c r="C52" s="8">
        <f t="shared" si="0"/>
        <v>3.7024249934975025E-4</v>
      </c>
    </row>
    <row r="53" spans="1:3">
      <c r="A53" s="3">
        <v>42822</v>
      </c>
      <c r="B53" s="9">
        <v>107.800003</v>
      </c>
      <c r="C53" s="8">
        <f t="shared" si="0"/>
        <v>-2.5906642747840574E-3</v>
      </c>
    </row>
    <row r="54" spans="1:3">
      <c r="A54" s="3">
        <v>42823</v>
      </c>
      <c r="B54" s="9">
        <v>109.510002</v>
      </c>
      <c r="C54" s="8">
        <f t="shared" si="0"/>
        <v>1.5862699001965668E-2</v>
      </c>
    </row>
    <row r="55" spans="1:3">
      <c r="A55" s="3">
        <v>42824</v>
      </c>
      <c r="B55" s="9">
        <v>108.849998</v>
      </c>
      <c r="C55" s="8">
        <f t="shared" si="0"/>
        <v>-6.0268832795747802E-3</v>
      </c>
    </row>
    <row r="56" spans="1:3">
      <c r="A56" s="3">
        <v>42825</v>
      </c>
      <c r="B56" s="9">
        <v>107.83000199999999</v>
      </c>
      <c r="C56" s="8">
        <f t="shared" si="0"/>
        <v>-9.3706570394241628E-3</v>
      </c>
    </row>
    <row r="57" spans="1:3">
      <c r="A57" s="3">
        <v>42828</v>
      </c>
      <c r="B57" s="9">
        <v>108.089996</v>
      </c>
      <c r="C57" s="8">
        <f t="shared" si="0"/>
        <v>2.4111471313893332E-3</v>
      </c>
    </row>
    <row r="58" spans="1:3">
      <c r="A58" s="3">
        <v>42829</v>
      </c>
      <c r="B58" s="9">
        <v>107.519997</v>
      </c>
      <c r="C58" s="8">
        <f t="shared" si="0"/>
        <v>-5.2733742352992193E-3</v>
      </c>
    </row>
    <row r="59" spans="1:3">
      <c r="A59" s="3">
        <v>42830</v>
      </c>
      <c r="B59" s="9">
        <v>107.44000200000001</v>
      </c>
      <c r="C59" s="8">
        <f t="shared" si="0"/>
        <v>-7.4400113683035824E-4</v>
      </c>
    </row>
    <row r="60" spans="1:3">
      <c r="A60" s="3">
        <v>42831</v>
      </c>
      <c r="B60" s="9">
        <v>108.040001</v>
      </c>
      <c r="C60" s="8">
        <f t="shared" si="0"/>
        <v>5.5845028744507729E-3</v>
      </c>
    </row>
    <row r="61" spans="1:3">
      <c r="A61" s="3">
        <v>42832</v>
      </c>
      <c r="B61" s="9">
        <v>108.989998</v>
      </c>
      <c r="C61" s="8">
        <f t="shared" si="0"/>
        <v>8.7930117660772345E-3</v>
      </c>
    </row>
    <row r="62" spans="1:3">
      <c r="A62" s="3">
        <v>42835</v>
      </c>
      <c r="B62" s="9">
        <v>111.699997</v>
      </c>
      <c r="C62" s="8">
        <f t="shared" si="0"/>
        <v>2.4864657764283989E-2</v>
      </c>
    </row>
    <row r="63" spans="1:3">
      <c r="A63" s="3">
        <v>42836</v>
      </c>
      <c r="B63" s="9">
        <v>110.44000200000001</v>
      </c>
      <c r="C63" s="8">
        <f t="shared" si="0"/>
        <v>-1.128017040143689E-2</v>
      </c>
    </row>
    <row r="64" spans="1:3">
      <c r="A64" s="3">
        <v>42837</v>
      </c>
      <c r="B64" s="9">
        <v>110.629997</v>
      </c>
      <c r="C64" s="8">
        <f t="shared" si="0"/>
        <v>1.7203458580161573E-3</v>
      </c>
    </row>
    <row r="65" spans="1:3">
      <c r="A65" s="3">
        <v>42838</v>
      </c>
      <c r="B65" s="9">
        <v>110.209999</v>
      </c>
      <c r="C65" s="8">
        <f t="shared" si="0"/>
        <v>-3.7964206037175139E-3</v>
      </c>
    </row>
    <row r="66" spans="1:3">
      <c r="A66" s="3">
        <v>42842</v>
      </c>
      <c r="B66" s="9">
        <v>111.760002</v>
      </c>
      <c r="C66" s="8">
        <f t="shared" si="0"/>
        <v>1.406408687110145E-2</v>
      </c>
    </row>
    <row r="67" spans="1:3">
      <c r="A67" s="3">
        <v>42843</v>
      </c>
      <c r="B67" s="9">
        <v>111.230003</v>
      </c>
      <c r="C67" s="8">
        <f t="shared" si="0"/>
        <v>-4.7422959065444867E-3</v>
      </c>
    </row>
    <row r="68" spans="1:3">
      <c r="A68" s="3">
        <v>42844</v>
      </c>
      <c r="B68" s="9">
        <v>110.760002</v>
      </c>
      <c r="C68" s="8">
        <f t="shared" ref="C68:C131" si="1">(B68-B67)/B67</f>
        <v>-4.2254876141646453E-3</v>
      </c>
    </row>
    <row r="69" spans="1:3">
      <c r="A69" s="3">
        <v>42845</v>
      </c>
      <c r="B69" s="9">
        <v>112.959999</v>
      </c>
      <c r="C69" s="8">
        <f t="shared" si="1"/>
        <v>1.9862738897386406E-2</v>
      </c>
    </row>
    <row r="70" spans="1:3">
      <c r="A70" s="3">
        <v>42846</v>
      </c>
      <c r="B70" s="9">
        <v>113.110001</v>
      </c>
      <c r="C70" s="8">
        <f t="shared" si="1"/>
        <v>1.3279213998576669E-3</v>
      </c>
    </row>
    <row r="71" spans="1:3">
      <c r="A71" s="3">
        <v>42849</v>
      </c>
      <c r="B71" s="9">
        <v>114.860001</v>
      </c>
      <c r="C71" s="8">
        <f t="shared" si="1"/>
        <v>1.5471664614342989E-2</v>
      </c>
    </row>
    <row r="72" spans="1:3">
      <c r="A72" s="3">
        <v>42850</v>
      </c>
      <c r="B72" s="9">
        <v>115.480003</v>
      </c>
      <c r="C72" s="8">
        <f t="shared" si="1"/>
        <v>5.3978930402412192E-3</v>
      </c>
    </row>
    <row r="73" spans="1:3">
      <c r="A73" s="3">
        <v>42851</v>
      </c>
      <c r="B73" s="9">
        <v>114.970001</v>
      </c>
      <c r="C73" s="8">
        <f t="shared" si="1"/>
        <v>-4.4163663556538012E-3</v>
      </c>
    </row>
    <row r="74" spans="1:3">
      <c r="A74" s="3">
        <v>42852</v>
      </c>
      <c r="B74" s="9">
        <v>115.43</v>
      </c>
      <c r="C74" s="8">
        <f t="shared" si="1"/>
        <v>4.0010350178218274E-3</v>
      </c>
    </row>
    <row r="75" spans="1:3">
      <c r="A75" s="3">
        <v>42853</v>
      </c>
      <c r="B75" s="9">
        <v>115.5</v>
      </c>
      <c r="C75" s="8">
        <f t="shared" si="1"/>
        <v>6.0642813826555634E-4</v>
      </c>
    </row>
    <row r="76" spans="1:3">
      <c r="A76" s="3">
        <v>42856</v>
      </c>
      <c r="B76" s="9">
        <v>116.68</v>
      </c>
      <c r="C76" s="8">
        <f t="shared" si="1"/>
        <v>1.0216450216450276E-2</v>
      </c>
    </row>
    <row r="77" spans="1:3">
      <c r="A77" s="3">
        <v>42857</v>
      </c>
      <c r="B77" s="9">
        <v>118.089996</v>
      </c>
      <c r="C77" s="8">
        <f t="shared" si="1"/>
        <v>1.2084298937264247E-2</v>
      </c>
    </row>
    <row r="78" spans="1:3">
      <c r="A78" s="3">
        <v>42858</v>
      </c>
      <c r="B78" s="9">
        <v>116.57</v>
      </c>
      <c r="C78" s="8">
        <f t="shared" si="1"/>
        <v>-1.2871505220476137E-2</v>
      </c>
    </row>
    <row r="79" spans="1:3">
      <c r="A79" s="3">
        <v>42859</v>
      </c>
      <c r="B79" s="9">
        <v>115.860001</v>
      </c>
      <c r="C79" s="8">
        <f t="shared" si="1"/>
        <v>-6.0907523376511653E-3</v>
      </c>
    </row>
    <row r="80" spans="1:3">
      <c r="A80" s="3">
        <v>42860</v>
      </c>
      <c r="B80" s="9">
        <v>116.040001</v>
      </c>
      <c r="C80" s="8">
        <f t="shared" si="1"/>
        <v>1.5535991580045544E-3</v>
      </c>
    </row>
    <row r="81" spans="1:3">
      <c r="A81" s="3">
        <v>42863</v>
      </c>
      <c r="B81" s="9">
        <v>116.860001</v>
      </c>
      <c r="C81" s="8">
        <f t="shared" si="1"/>
        <v>7.0665287222808036E-3</v>
      </c>
    </row>
    <row r="82" spans="1:3">
      <c r="A82" s="3">
        <v>42864</v>
      </c>
      <c r="B82" s="9">
        <v>120</v>
      </c>
      <c r="C82" s="8">
        <f t="shared" si="1"/>
        <v>2.6869749898427633E-2</v>
      </c>
    </row>
    <row r="83" spans="1:3">
      <c r="A83" s="3">
        <v>42865</v>
      </c>
      <c r="B83" s="9">
        <v>119.980003</v>
      </c>
      <c r="C83" s="8">
        <f t="shared" si="1"/>
        <v>-1.6664166666669663E-4</v>
      </c>
    </row>
    <row r="84" spans="1:3">
      <c r="A84" s="3">
        <v>42866</v>
      </c>
      <c r="B84" s="9">
        <v>120.160004</v>
      </c>
      <c r="C84" s="8">
        <f t="shared" si="1"/>
        <v>1.5002583388833914E-3</v>
      </c>
    </row>
    <row r="85" spans="1:3">
      <c r="A85" s="3">
        <v>42867</v>
      </c>
      <c r="B85" s="9">
        <v>120.339996</v>
      </c>
      <c r="C85" s="8">
        <f t="shared" si="1"/>
        <v>1.4979360353549805E-3</v>
      </c>
    </row>
    <row r="86" spans="1:3">
      <c r="A86" s="3">
        <v>42870</v>
      </c>
      <c r="B86" s="9">
        <v>121.400002</v>
      </c>
      <c r="C86" s="8">
        <f t="shared" si="1"/>
        <v>8.8084264187610686E-3</v>
      </c>
    </row>
    <row r="87" spans="1:3">
      <c r="A87" s="3">
        <v>42871</v>
      </c>
      <c r="B87" s="9">
        <v>124.019997</v>
      </c>
      <c r="C87" s="8">
        <f t="shared" si="1"/>
        <v>2.1581507057965313E-2</v>
      </c>
    </row>
    <row r="88" spans="1:3">
      <c r="A88" s="3">
        <v>42872</v>
      </c>
      <c r="B88" s="9">
        <v>120.720001</v>
      </c>
      <c r="C88" s="8">
        <f t="shared" si="1"/>
        <v>-2.6608579905061658E-2</v>
      </c>
    </row>
    <row r="89" spans="1:3">
      <c r="A89" s="3">
        <v>42873</v>
      </c>
      <c r="B89" s="9">
        <v>121.269997</v>
      </c>
      <c r="C89" s="8">
        <f t="shared" si="1"/>
        <v>4.5559641769718617E-3</v>
      </c>
    </row>
    <row r="90" spans="1:3">
      <c r="A90" s="3">
        <v>42874</v>
      </c>
      <c r="B90" s="9">
        <v>123.220001</v>
      </c>
      <c r="C90" s="8">
        <f t="shared" si="1"/>
        <v>1.6079855267086322E-2</v>
      </c>
    </row>
    <row r="91" spans="1:3">
      <c r="A91" s="3">
        <v>42877</v>
      </c>
      <c r="B91" s="9">
        <v>124.75</v>
      </c>
      <c r="C91" s="8">
        <f t="shared" si="1"/>
        <v>1.2416807235701969E-2</v>
      </c>
    </row>
    <row r="92" spans="1:3">
      <c r="A92" s="3">
        <v>42878</v>
      </c>
      <c r="B92" s="9">
        <v>122.93</v>
      </c>
      <c r="C92" s="8">
        <f t="shared" si="1"/>
        <v>-1.4589178356713372E-2</v>
      </c>
    </row>
    <row r="93" spans="1:3">
      <c r="A93" s="3">
        <v>42879</v>
      </c>
      <c r="B93" s="9">
        <v>122.80999799999999</v>
      </c>
      <c r="C93" s="8">
        <f t="shared" si="1"/>
        <v>-9.7618156674541363E-4</v>
      </c>
    </row>
    <row r="94" spans="1:3">
      <c r="A94" s="3">
        <v>42880</v>
      </c>
      <c r="B94" s="9">
        <v>123.629997</v>
      </c>
      <c r="C94" s="8">
        <f t="shared" si="1"/>
        <v>6.6769726679745565E-3</v>
      </c>
    </row>
    <row r="95" spans="1:3">
      <c r="A95" s="3">
        <v>42881</v>
      </c>
      <c r="B95" s="9">
        <v>123.989998</v>
      </c>
      <c r="C95" s="8">
        <f t="shared" si="1"/>
        <v>2.9119227431510567E-3</v>
      </c>
    </row>
    <row r="96" spans="1:3">
      <c r="A96" s="3">
        <v>42885</v>
      </c>
      <c r="B96" s="9">
        <v>123.910004</v>
      </c>
      <c r="C96" s="8">
        <f t="shared" si="1"/>
        <v>-6.451649430625786E-4</v>
      </c>
    </row>
    <row r="97" spans="1:3">
      <c r="A97" s="3">
        <v>42886</v>
      </c>
      <c r="B97" s="9">
        <v>122.459999</v>
      </c>
      <c r="C97" s="8">
        <f t="shared" si="1"/>
        <v>-1.1702081778643188E-2</v>
      </c>
    </row>
    <row r="98" spans="1:3">
      <c r="A98" s="3">
        <v>42887</v>
      </c>
      <c r="B98" s="9">
        <v>123.970001</v>
      </c>
      <c r="C98" s="8">
        <f t="shared" si="1"/>
        <v>1.2330573349098265E-2</v>
      </c>
    </row>
    <row r="99" spans="1:3">
      <c r="A99" s="3">
        <v>42888</v>
      </c>
      <c r="B99" s="9">
        <v>124.129997</v>
      </c>
      <c r="C99" s="8">
        <f t="shared" si="1"/>
        <v>1.2906025547261767E-3</v>
      </c>
    </row>
    <row r="100" spans="1:3">
      <c r="A100" s="3">
        <v>42891</v>
      </c>
      <c r="B100" s="9">
        <v>125.370003</v>
      </c>
      <c r="C100" s="8">
        <f t="shared" si="1"/>
        <v>9.9895756865280034E-3</v>
      </c>
    </row>
    <row r="101" spans="1:3">
      <c r="A101" s="3">
        <v>42892</v>
      </c>
      <c r="B101" s="9">
        <v>124.620003</v>
      </c>
      <c r="C101" s="8">
        <f t="shared" si="1"/>
        <v>-5.9822922713019316E-3</v>
      </c>
    </row>
    <row r="102" spans="1:3">
      <c r="A102" s="3">
        <v>42893</v>
      </c>
      <c r="B102" s="9">
        <v>125.639999</v>
      </c>
      <c r="C102" s="8">
        <f t="shared" si="1"/>
        <v>8.1848497467939089E-3</v>
      </c>
    </row>
    <row r="103" spans="1:3">
      <c r="A103" s="3">
        <v>42894</v>
      </c>
      <c r="B103" s="9">
        <v>142.33999600000001</v>
      </c>
      <c r="C103" s="8">
        <f t="shared" si="1"/>
        <v>0.13291942958388603</v>
      </c>
    </row>
    <row r="104" spans="1:3">
      <c r="A104" s="3">
        <v>42895</v>
      </c>
      <c r="B104" s="9">
        <v>139.44000199999999</v>
      </c>
      <c r="C104" s="8">
        <f t="shared" si="1"/>
        <v>-2.0373711405752889E-2</v>
      </c>
    </row>
    <row r="105" spans="1:3">
      <c r="A105" s="3">
        <v>42898</v>
      </c>
      <c r="B105" s="9">
        <v>139.08000200000001</v>
      </c>
      <c r="C105" s="8">
        <f t="shared" si="1"/>
        <v>-2.5817555567733373E-3</v>
      </c>
    </row>
    <row r="106" spans="1:3">
      <c r="A106" s="3">
        <v>42899</v>
      </c>
      <c r="B106" s="9">
        <v>136.60000600000001</v>
      </c>
      <c r="C106" s="8">
        <f t="shared" si="1"/>
        <v>-1.783143488882032E-2</v>
      </c>
    </row>
    <row r="107" spans="1:3">
      <c r="A107" s="3">
        <v>42900</v>
      </c>
      <c r="B107" s="9">
        <v>136.66999799999999</v>
      </c>
      <c r="C107" s="8">
        <f t="shared" si="1"/>
        <v>5.1238650750853518E-4</v>
      </c>
    </row>
    <row r="108" spans="1:3">
      <c r="A108" s="3">
        <v>42901</v>
      </c>
      <c r="B108" s="9">
        <v>135.08000200000001</v>
      </c>
      <c r="C108" s="8">
        <f t="shared" si="1"/>
        <v>-1.163383349138547E-2</v>
      </c>
    </row>
    <row r="109" spans="1:3">
      <c r="A109" s="3">
        <v>42902</v>
      </c>
      <c r="B109" s="9">
        <v>134.86999499999999</v>
      </c>
      <c r="C109" s="8">
        <f t="shared" si="1"/>
        <v>-1.5546860889150615E-3</v>
      </c>
    </row>
    <row r="110" spans="1:3">
      <c r="A110" s="3">
        <v>42905</v>
      </c>
      <c r="B110" s="9">
        <v>139.470001</v>
      </c>
      <c r="C110" s="8">
        <f t="shared" si="1"/>
        <v>3.4106963524392568E-2</v>
      </c>
    </row>
    <row r="111" spans="1:3">
      <c r="A111" s="3">
        <v>42906</v>
      </c>
      <c r="B111" s="9">
        <v>138.38000500000001</v>
      </c>
      <c r="C111" s="8">
        <f t="shared" si="1"/>
        <v>-7.8152720454915964E-3</v>
      </c>
    </row>
    <row r="112" spans="1:3">
      <c r="A112" s="3">
        <v>42907</v>
      </c>
      <c r="B112" s="9">
        <v>143.28999300000001</v>
      </c>
      <c r="C112" s="8">
        <f t="shared" si="1"/>
        <v>3.5481918070461103E-2</v>
      </c>
    </row>
    <row r="113" spans="1:3">
      <c r="A113" s="3">
        <v>42908</v>
      </c>
      <c r="B113" s="9">
        <v>142.270004</v>
      </c>
      <c r="C113" s="8">
        <f t="shared" si="1"/>
        <v>-7.1183547339555633E-3</v>
      </c>
    </row>
    <row r="114" spans="1:3">
      <c r="A114" s="3">
        <v>42909</v>
      </c>
      <c r="B114" s="9">
        <v>143.009995</v>
      </c>
      <c r="C114" s="8">
        <f t="shared" si="1"/>
        <v>5.2013142559552009E-3</v>
      </c>
    </row>
    <row r="115" spans="1:3">
      <c r="A115" s="3">
        <v>42912</v>
      </c>
      <c r="B115" s="9">
        <v>142.729996</v>
      </c>
      <c r="C115" s="8">
        <f t="shared" si="1"/>
        <v>-1.9578981175406912E-3</v>
      </c>
    </row>
    <row r="116" spans="1:3">
      <c r="A116" s="3">
        <v>42913</v>
      </c>
      <c r="B116" s="9">
        <v>141.529999</v>
      </c>
      <c r="C116" s="8">
        <f t="shared" si="1"/>
        <v>-8.4074618764789725E-3</v>
      </c>
    </row>
    <row r="117" spans="1:3">
      <c r="A117" s="3">
        <v>42914</v>
      </c>
      <c r="B117" s="9">
        <v>143.949997</v>
      </c>
      <c r="C117" s="8">
        <f t="shared" si="1"/>
        <v>1.7098834290248194E-2</v>
      </c>
    </row>
    <row r="118" spans="1:3">
      <c r="A118" s="3">
        <v>42915</v>
      </c>
      <c r="B118" s="9">
        <v>140.80999800000001</v>
      </c>
      <c r="C118" s="8">
        <f t="shared" si="1"/>
        <v>-2.1813123066615897E-2</v>
      </c>
    </row>
    <row r="119" spans="1:3">
      <c r="A119" s="3">
        <v>42916</v>
      </c>
      <c r="B119" s="9">
        <v>140.89999399999999</v>
      </c>
      <c r="C119" s="8">
        <f t="shared" si="1"/>
        <v>6.3913075263295641E-4</v>
      </c>
    </row>
    <row r="120" spans="1:3">
      <c r="A120" s="3">
        <v>42919</v>
      </c>
      <c r="B120" s="9">
        <v>140.990005</v>
      </c>
      <c r="C120" s="8">
        <f t="shared" si="1"/>
        <v>6.3882898391041856E-4</v>
      </c>
    </row>
    <row r="121" spans="1:3">
      <c r="A121" s="3">
        <v>42921</v>
      </c>
      <c r="B121" s="9">
        <v>144.86999499999999</v>
      </c>
      <c r="C121" s="8">
        <f t="shared" si="1"/>
        <v>2.7519610344009793E-2</v>
      </c>
    </row>
    <row r="122" spans="1:3">
      <c r="A122" s="3">
        <v>42922</v>
      </c>
      <c r="B122" s="9">
        <v>142.199997</v>
      </c>
      <c r="C122" s="8">
        <f t="shared" si="1"/>
        <v>-1.8430303666400989E-2</v>
      </c>
    </row>
    <row r="123" spans="1:3">
      <c r="A123" s="3">
        <v>42923</v>
      </c>
      <c r="B123" s="9">
        <v>142.429993</v>
      </c>
      <c r="C123" s="8">
        <f t="shared" si="1"/>
        <v>1.6174121297625615E-3</v>
      </c>
    </row>
    <row r="124" spans="1:3">
      <c r="A124" s="3">
        <v>42926</v>
      </c>
      <c r="B124" s="9">
        <v>143.80999800000001</v>
      </c>
      <c r="C124" s="8">
        <f t="shared" si="1"/>
        <v>9.6890056015098685E-3</v>
      </c>
    </row>
    <row r="125" spans="1:3">
      <c r="A125" s="3">
        <v>42927</v>
      </c>
      <c r="B125" s="9">
        <v>145.80999800000001</v>
      </c>
      <c r="C125" s="8">
        <f t="shared" si="1"/>
        <v>1.3907238911163881E-2</v>
      </c>
    </row>
    <row r="126" spans="1:3">
      <c r="A126" s="3">
        <v>42928</v>
      </c>
      <c r="B126" s="9">
        <v>149</v>
      </c>
      <c r="C126" s="8">
        <f t="shared" si="1"/>
        <v>2.187780017663804E-2</v>
      </c>
    </row>
    <row r="127" spans="1:3">
      <c r="A127" s="3">
        <v>42929</v>
      </c>
      <c r="B127" s="9">
        <v>149.520004</v>
      </c>
      <c r="C127" s="8">
        <f t="shared" si="1"/>
        <v>3.4899597315436251E-3</v>
      </c>
    </row>
    <row r="128" spans="1:3">
      <c r="A128" s="3">
        <v>42930</v>
      </c>
      <c r="B128" s="9">
        <v>151.83000200000001</v>
      </c>
      <c r="C128" s="8">
        <f t="shared" si="1"/>
        <v>1.5449424412803035E-2</v>
      </c>
    </row>
    <row r="129" spans="1:3">
      <c r="A129" s="3">
        <v>42933</v>
      </c>
      <c r="B129" s="9">
        <v>151.229996</v>
      </c>
      <c r="C129" s="8">
        <f t="shared" si="1"/>
        <v>-3.9518276499792681E-3</v>
      </c>
    </row>
    <row r="130" spans="1:3">
      <c r="A130" s="3">
        <v>42934</v>
      </c>
      <c r="B130" s="9">
        <v>153.75</v>
      </c>
      <c r="C130" s="8">
        <f t="shared" si="1"/>
        <v>1.6663387334877666E-2</v>
      </c>
    </row>
    <row r="131" spans="1:3">
      <c r="A131" s="3">
        <v>42935</v>
      </c>
      <c r="B131" s="9">
        <v>153.14999399999999</v>
      </c>
      <c r="C131" s="8">
        <f t="shared" si="1"/>
        <v>-3.9024780487805374E-3</v>
      </c>
    </row>
    <row r="132" spans="1:3">
      <c r="A132" s="3">
        <v>42936</v>
      </c>
      <c r="B132" s="9">
        <v>152.11000100000001</v>
      </c>
      <c r="C132" s="8">
        <f t="shared" ref="C132:C195" si="2">(B132-B131)/B131</f>
        <v>-6.7906826036178711E-3</v>
      </c>
    </row>
    <row r="133" spans="1:3">
      <c r="A133" s="3">
        <v>42937</v>
      </c>
      <c r="B133" s="9">
        <v>151.88999899999999</v>
      </c>
      <c r="C133" s="8">
        <f t="shared" si="2"/>
        <v>-1.4463348797165692E-3</v>
      </c>
    </row>
    <row r="134" spans="1:3">
      <c r="A134" s="3">
        <v>42940</v>
      </c>
      <c r="B134" s="9">
        <v>152.259995</v>
      </c>
      <c r="C134" s="8">
        <f t="shared" si="2"/>
        <v>2.4359470829940204E-3</v>
      </c>
    </row>
    <row r="135" spans="1:3">
      <c r="A135" s="3">
        <v>42941</v>
      </c>
      <c r="B135" s="9">
        <v>152.44000199999999</v>
      </c>
      <c r="C135" s="8">
        <f t="shared" si="2"/>
        <v>1.1822343748270131E-3</v>
      </c>
    </row>
    <row r="136" spans="1:3">
      <c r="A136" s="3">
        <v>42942</v>
      </c>
      <c r="B136" s="9">
        <v>155.78999300000001</v>
      </c>
      <c r="C136" s="8">
        <f t="shared" si="2"/>
        <v>2.1975800026557447E-2</v>
      </c>
    </row>
    <row r="137" spans="1:3">
      <c r="A137" s="3">
        <v>42943</v>
      </c>
      <c r="B137" s="9">
        <v>154.14999399999999</v>
      </c>
      <c r="C137" s="8">
        <f t="shared" si="2"/>
        <v>-1.0526985516971024E-2</v>
      </c>
    </row>
    <row r="138" spans="1:3">
      <c r="A138" s="3">
        <v>42944</v>
      </c>
      <c r="B138" s="9">
        <v>157.55999800000001</v>
      </c>
      <c r="C138" s="8">
        <f t="shared" si="2"/>
        <v>2.2121337221719353E-2</v>
      </c>
    </row>
    <row r="139" spans="1:3">
      <c r="A139" s="3">
        <v>42947</v>
      </c>
      <c r="B139" s="9">
        <v>154.949997</v>
      </c>
      <c r="C139" s="8">
        <f t="shared" si="2"/>
        <v>-1.6565124607325846E-2</v>
      </c>
    </row>
    <row r="140" spans="1:3">
      <c r="A140" s="3">
        <v>42948</v>
      </c>
      <c r="B140" s="9">
        <v>154.729996</v>
      </c>
      <c r="C140" s="8">
        <f t="shared" si="2"/>
        <v>-1.4198193240364913E-3</v>
      </c>
    </row>
    <row r="141" spans="1:3">
      <c r="A141" s="3">
        <v>42949</v>
      </c>
      <c r="B141" s="9">
        <v>151.91000399999999</v>
      </c>
      <c r="C141" s="8">
        <f t="shared" si="2"/>
        <v>-1.822524444452266E-2</v>
      </c>
    </row>
    <row r="142" spans="1:3">
      <c r="A142" s="3">
        <v>42950</v>
      </c>
      <c r="B142" s="9">
        <v>153.320007</v>
      </c>
      <c r="C142" s="8">
        <f t="shared" si="2"/>
        <v>9.2818311031050826E-3</v>
      </c>
    </row>
    <row r="143" spans="1:3">
      <c r="A143" s="3">
        <v>42951</v>
      </c>
      <c r="B143" s="9">
        <v>153.33000200000001</v>
      </c>
      <c r="C143" s="8">
        <f t="shared" si="2"/>
        <v>6.5190448367273611E-5</v>
      </c>
    </row>
    <row r="144" spans="1:3">
      <c r="A144" s="3">
        <v>42954</v>
      </c>
      <c r="B144" s="9">
        <v>158.83999600000001</v>
      </c>
      <c r="C144" s="8">
        <f t="shared" si="2"/>
        <v>3.5935524216584865E-2</v>
      </c>
    </row>
    <row r="145" spans="1:3">
      <c r="A145" s="3">
        <v>42955</v>
      </c>
      <c r="B145" s="9">
        <v>157.5</v>
      </c>
      <c r="C145" s="8">
        <f t="shared" si="2"/>
        <v>-8.4361372056444353E-3</v>
      </c>
    </row>
    <row r="146" spans="1:3">
      <c r="A146" s="3">
        <v>42956</v>
      </c>
      <c r="B146" s="9">
        <v>157.490005</v>
      </c>
      <c r="C146" s="8">
        <f t="shared" si="2"/>
        <v>-6.3460317460339868E-5</v>
      </c>
    </row>
    <row r="147" spans="1:3">
      <c r="A147" s="3">
        <v>42957</v>
      </c>
      <c r="B147" s="9">
        <v>151.770004</v>
      </c>
      <c r="C147" s="8">
        <f t="shared" si="2"/>
        <v>-3.6319771530898083E-2</v>
      </c>
    </row>
    <row r="148" spans="1:3">
      <c r="A148" s="3">
        <v>42958</v>
      </c>
      <c r="B148" s="9">
        <v>151.699997</v>
      </c>
      <c r="C148" s="8">
        <f t="shared" si="2"/>
        <v>-4.6127033112553601E-4</v>
      </c>
    </row>
    <row r="149" spans="1:3">
      <c r="A149" s="3">
        <v>42961</v>
      </c>
      <c r="B149" s="9">
        <v>154.61000100000001</v>
      </c>
      <c r="C149" s="8">
        <f t="shared" si="2"/>
        <v>1.9182623978562206E-2</v>
      </c>
    </row>
    <row r="150" spans="1:3">
      <c r="A150" s="3">
        <v>42962</v>
      </c>
      <c r="B150" s="9">
        <v>157.75</v>
      </c>
      <c r="C150" s="8">
        <f t="shared" si="2"/>
        <v>2.0309158396551518E-2</v>
      </c>
    </row>
    <row r="151" spans="1:3">
      <c r="A151" s="3">
        <v>42963</v>
      </c>
      <c r="B151" s="9">
        <v>159.5</v>
      </c>
      <c r="C151" s="8">
        <f t="shared" si="2"/>
        <v>1.1093502377179081E-2</v>
      </c>
    </row>
    <row r="152" spans="1:3">
      <c r="A152" s="3">
        <v>42964</v>
      </c>
      <c r="B152" s="9">
        <v>163.91999799999999</v>
      </c>
      <c r="C152" s="8">
        <f t="shared" si="2"/>
        <v>2.7711586206896503E-2</v>
      </c>
    </row>
    <row r="153" spans="1:3">
      <c r="A153" s="3">
        <v>42965</v>
      </c>
      <c r="B153" s="9">
        <v>167.5</v>
      </c>
      <c r="C153" s="8">
        <f t="shared" si="2"/>
        <v>2.1839934380672745E-2</v>
      </c>
    </row>
    <row r="154" spans="1:3">
      <c r="A154" s="3">
        <v>42968</v>
      </c>
      <c r="B154" s="9">
        <v>169.25</v>
      </c>
      <c r="C154" s="8">
        <f t="shared" si="2"/>
        <v>1.0447761194029851E-2</v>
      </c>
    </row>
    <row r="155" spans="1:3">
      <c r="A155" s="3">
        <v>42969</v>
      </c>
      <c r="B155" s="9">
        <v>174.46000699999999</v>
      </c>
      <c r="C155" s="8">
        <f t="shared" si="2"/>
        <v>3.0782906942392853E-2</v>
      </c>
    </row>
    <row r="156" spans="1:3">
      <c r="A156" s="3">
        <v>42970</v>
      </c>
      <c r="B156" s="9">
        <v>175.800003</v>
      </c>
      <c r="C156" s="8">
        <f t="shared" si="2"/>
        <v>7.680820510342027E-3</v>
      </c>
    </row>
    <row r="157" spans="1:3">
      <c r="A157" s="3">
        <v>42971</v>
      </c>
      <c r="B157" s="9">
        <v>175</v>
      </c>
      <c r="C157" s="8">
        <f t="shared" si="2"/>
        <v>-4.5506426982256862E-3</v>
      </c>
    </row>
    <row r="158" spans="1:3">
      <c r="A158" s="3">
        <v>42972</v>
      </c>
      <c r="B158" s="9">
        <v>171.740005</v>
      </c>
      <c r="C158" s="8">
        <f t="shared" si="2"/>
        <v>-1.8628542857142879E-2</v>
      </c>
    </row>
    <row r="159" spans="1:3">
      <c r="A159" s="3">
        <v>42975</v>
      </c>
      <c r="B159" s="9">
        <v>168.300003</v>
      </c>
      <c r="C159" s="8">
        <f t="shared" si="2"/>
        <v>-2.0030289390057913E-2</v>
      </c>
    </row>
    <row r="160" spans="1:3">
      <c r="A160" s="3">
        <v>42976</v>
      </c>
      <c r="B160" s="9">
        <v>167.41000399999999</v>
      </c>
      <c r="C160" s="8">
        <f t="shared" si="2"/>
        <v>-5.288169840377349E-3</v>
      </c>
    </row>
    <row r="161" spans="1:3">
      <c r="A161" s="3">
        <v>42977</v>
      </c>
      <c r="B161" s="9">
        <v>171.25</v>
      </c>
      <c r="C161" s="8">
        <f t="shared" si="2"/>
        <v>2.2937673426015891E-2</v>
      </c>
    </row>
    <row r="162" spans="1:3">
      <c r="A162" s="3">
        <v>42978</v>
      </c>
      <c r="B162" s="9">
        <v>171.740005</v>
      </c>
      <c r="C162" s="8">
        <f t="shared" si="2"/>
        <v>2.86134306569341E-3</v>
      </c>
    </row>
    <row r="163" spans="1:3">
      <c r="A163" s="3">
        <v>42979</v>
      </c>
      <c r="B163" s="9">
        <v>171.03999300000001</v>
      </c>
      <c r="C163" s="8">
        <f t="shared" si="2"/>
        <v>-4.0759984838709346E-3</v>
      </c>
    </row>
    <row r="164" spans="1:3">
      <c r="A164" s="3">
        <v>42983</v>
      </c>
      <c r="B164" s="9">
        <v>169.91999799999999</v>
      </c>
      <c r="C164" s="8">
        <f t="shared" si="2"/>
        <v>-6.5481469003569074E-3</v>
      </c>
    </row>
    <row r="165" spans="1:3">
      <c r="A165" s="3">
        <v>42984</v>
      </c>
      <c r="B165" s="9">
        <v>168.13999899999999</v>
      </c>
      <c r="C165" s="8">
        <f t="shared" si="2"/>
        <v>-1.0475512128949082E-2</v>
      </c>
    </row>
    <row r="166" spans="1:3">
      <c r="A166" s="3">
        <v>42985</v>
      </c>
      <c r="B166" s="9">
        <v>170.479996</v>
      </c>
      <c r="C166" s="8">
        <f t="shared" si="2"/>
        <v>1.391695619077535E-2</v>
      </c>
    </row>
    <row r="167" spans="1:3">
      <c r="A167" s="3">
        <v>42986</v>
      </c>
      <c r="B167" s="9">
        <v>169</v>
      </c>
      <c r="C167" s="8">
        <f t="shared" si="2"/>
        <v>-8.6813469892385482E-3</v>
      </c>
    </row>
    <row r="168" spans="1:3">
      <c r="A168" s="3">
        <v>42989</v>
      </c>
      <c r="B168" s="9">
        <v>174.05999800000001</v>
      </c>
      <c r="C168" s="8">
        <f t="shared" si="2"/>
        <v>2.9940816568047382E-2</v>
      </c>
    </row>
    <row r="169" spans="1:3">
      <c r="A169" s="3">
        <v>42990</v>
      </c>
      <c r="B169" s="9">
        <v>175.30999800000001</v>
      </c>
      <c r="C169" s="8">
        <f t="shared" si="2"/>
        <v>7.1814317727385011E-3</v>
      </c>
    </row>
    <row r="170" spans="1:3">
      <c r="A170" s="3">
        <v>42991</v>
      </c>
      <c r="B170" s="9">
        <v>178.970001</v>
      </c>
      <c r="C170" s="8">
        <f t="shared" si="2"/>
        <v>2.0877320413864753E-2</v>
      </c>
    </row>
    <row r="171" spans="1:3">
      <c r="A171" s="3">
        <v>42992</v>
      </c>
      <c r="B171" s="9">
        <v>177.10000600000001</v>
      </c>
      <c r="C171" s="8">
        <f t="shared" si="2"/>
        <v>-1.0448650553452189E-2</v>
      </c>
    </row>
    <row r="172" spans="1:3">
      <c r="A172" s="3">
        <v>42993</v>
      </c>
      <c r="B172" s="9">
        <v>176.699997</v>
      </c>
      <c r="C172" s="8">
        <f t="shared" si="2"/>
        <v>-2.2586616964880924E-3</v>
      </c>
    </row>
    <row r="173" spans="1:3">
      <c r="A173" s="3">
        <v>42996</v>
      </c>
      <c r="B173" s="9">
        <v>179.979996</v>
      </c>
      <c r="C173" s="8">
        <f t="shared" si="2"/>
        <v>1.8562530026528544E-2</v>
      </c>
    </row>
    <row r="174" spans="1:3">
      <c r="A174" s="3">
        <v>42997</v>
      </c>
      <c r="B174" s="9">
        <v>180.070007</v>
      </c>
      <c r="C174" s="8">
        <f t="shared" si="2"/>
        <v>5.0011669074603187E-4</v>
      </c>
    </row>
    <row r="175" spans="1:3">
      <c r="A175" s="3">
        <v>42998</v>
      </c>
      <c r="B175" s="9">
        <v>177.949997</v>
      </c>
      <c r="C175" s="8">
        <f t="shared" si="2"/>
        <v>-1.1773254387667168E-2</v>
      </c>
    </row>
    <row r="176" spans="1:3">
      <c r="A176" s="3">
        <v>42999</v>
      </c>
      <c r="B176" s="9">
        <v>177.38999899999999</v>
      </c>
      <c r="C176" s="8">
        <f t="shared" si="2"/>
        <v>-3.1469402047812753E-3</v>
      </c>
    </row>
    <row r="177" spans="1:3">
      <c r="A177" s="3">
        <v>43000</v>
      </c>
      <c r="B177" s="9">
        <v>178.13999899999999</v>
      </c>
      <c r="C177" s="8">
        <f t="shared" si="2"/>
        <v>4.2279722883362776E-3</v>
      </c>
    </row>
    <row r="178" spans="1:3">
      <c r="A178" s="3">
        <v>43003</v>
      </c>
      <c r="B178" s="9">
        <v>169.58999600000001</v>
      </c>
      <c r="C178" s="8">
        <f t="shared" si="2"/>
        <v>-4.7995975345211356E-2</v>
      </c>
    </row>
    <row r="179" spans="1:3">
      <c r="A179" s="3">
        <v>43004</v>
      </c>
      <c r="B179" s="9">
        <v>167.020004</v>
      </c>
      <c r="C179" s="8">
        <f t="shared" si="2"/>
        <v>-1.5154148597302951E-2</v>
      </c>
    </row>
    <row r="180" spans="1:3">
      <c r="A180" s="3">
        <v>43005</v>
      </c>
      <c r="B180" s="9">
        <v>170.990005</v>
      </c>
      <c r="C180" s="8">
        <f t="shared" si="2"/>
        <v>2.3769613848171122E-2</v>
      </c>
    </row>
    <row r="181" spans="1:3">
      <c r="A181" s="3">
        <v>43006</v>
      </c>
      <c r="B181" s="9">
        <v>170.240005</v>
      </c>
      <c r="C181" s="8">
        <f t="shared" si="2"/>
        <v>-4.386221288197518E-3</v>
      </c>
    </row>
    <row r="182" spans="1:3">
      <c r="A182" s="3">
        <v>43007</v>
      </c>
      <c r="B182" s="9">
        <v>172.71000699999999</v>
      </c>
      <c r="C182" s="8">
        <f t="shared" si="2"/>
        <v>1.4508939893416908E-2</v>
      </c>
    </row>
    <row r="183" spans="1:3">
      <c r="A183" s="3">
        <v>43010</v>
      </c>
      <c r="B183" s="9">
        <v>173.61000100000001</v>
      </c>
      <c r="C183" s="8">
        <f t="shared" si="2"/>
        <v>5.2110124690112536E-3</v>
      </c>
    </row>
    <row r="184" spans="1:3">
      <c r="A184" s="3">
        <v>43011</v>
      </c>
      <c r="B184" s="9">
        <v>178.55999800000001</v>
      </c>
      <c r="C184" s="8">
        <f t="shared" si="2"/>
        <v>2.8512165033626122E-2</v>
      </c>
    </row>
    <row r="185" spans="1:3">
      <c r="A185" s="3">
        <v>43012</v>
      </c>
      <c r="B185" s="9">
        <v>178.71000699999999</v>
      </c>
      <c r="C185" s="8">
        <f t="shared" si="2"/>
        <v>8.4010417607634019E-4</v>
      </c>
    </row>
    <row r="186" spans="1:3">
      <c r="A186" s="3">
        <v>43013</v>
      </c>
      <c r="B186" s="9">
        <v>178.88999899999999</v>
      </c>
      <c r="C186" s="8">
        <f t="shared" si="2"/>
        <v>1.0071735938099909E-3</v>
      </c>
    </row>
    <row r="187" spans="1:3">
      <c r="A187" s="3">
        <v>43014</v>
      </c>
      <c r="B187" s="9">
        <v>179.199997</v>
      </c>
      <c r="C187" s="8">
        <f t="shared" si="2"/>
        <v>1.7328973208838095E-3</v>
      </c>
    </row>
    <row r="188" spans="1:3">
      <c r="A188" s="3">
        <v>43017</v>
      </c>
      <c r="B188" s="9">
        <v>182.08999600000001</v>
      </c>
      <c r="C188" s="8">
        <f t="shared" si="2"/>
        <v>1.6127226832487154E-2</v>
      </c>
    </row>
    <row r="189" spans="1:3">
      <c r="A189" s="3">
        <v>43018</v>
      </c>
      <c r="B189" s="9">
        <v>183.11999499999999</v>
      </c>
      <c r="C189" s="8">
        <f t="shared" si="2"/>
        <v>5.6565380999842249E-3</v>
      </c>
    </row>
    <row r="190" spans="1:3">
      <c r="A190" s="3">
        <v>43019</v>
      </c>
      <c r="B190" s="9">
        <v>184.69000199999999</v>
      </c>
      <c r="C190" s="8">
        <f t="shared" si="2"/>
        <v>8.5736513918100755E-3</v>
      </c>
    </row>
    <row r="191" spans="1:3">
      <c r="A191" s="3">
        <v>43020</v>
      </c>
      <c r="B191" s="9">
        <v>180.529999</v>
      </c>
      <c r="C191" s="8">
        <f t="shared" si="2"/>
        <v>-2.2524245789980496E-2</v>
      </c>
    </row>
    <row r="192" spans="1:3">
      <c r="A192" s="3">
        <v>43021</v>
      </c>
      <c r="B192" s="9">
        <v>178.449997</v>
      </c>
      <c r="C192" s="8">
        <f t="shared" si="2"/>
        <v>-1.1521641896203675E-2</v>
      </c>
    </row>
    <row r="193" spans="1:3">
      <c r="A193" s="3">
        <v>43024</v>
      </c>
      <c r="B193" s="9">
        <v>179.55999800000001</v>
      </c>
      <c r="C193" s="8">
        <f t="shared" si="2"/>
        <v>6.220235464615957E-3</v>
      </c>
    </row>
    <row r="194" spans="1:3">
      <c r="A194" s="3">
        <v>43025</v>
      </c>
      <c r="B194" s="9">
        <v>175.320007</v>
      </c>
      <c r="C194" s="8">
        <f t="shared" si="2"/>
        <v>-2.3613227039577061E-2</v>
      </c>
    </row>
    <row r="195" spans="1:3">
      <c r="A195" s="3">
        <v>43026</v>
      </c>
      <c r="B195" s="9">
        <v>179.61000100000001</v>
      </c>
      <c r="C195" s="8">
        <f t="shared" si="2"/>
        <v>2.446950620986461E-2</v>
      </c>
    </row>
    <row r="196" spans="1:3">
      <c r="A196" s="3">
        <v>43027</v>
      </c>
      <c r="B196" s="9">
        <v>177.929993</v>
      </c>
      <c r="C196" s="8">
        <f t="shared" ref="C196:C254" si="3">(B196-B195)/B195</f>
        <v>-9.3536439543809979E-3</v>
      </c>
    </row>
    <row r="197" spans="1:3">
      <c r="A197" s="3">
        <v>43028</v>
      </c>
      <c r="B197" s="9">
        <v>177.320007</v>
      </c>
      <c r="C197" s="8">
        <f t="shared" si="3"/>
        <v>-3.4282359579477541E-3</v>
      </c>
    </row>
    <row r="198" spans="1:3">
      <c r="A198" s="3">
        <v>43031</v>
      </c>
      <c r="B198" s="9">
        <v>173.13000500000001</v>
      </c>
      <c r="C198" s="8">
        <f t="shared" si="3"/>
        <v>-2.3629606556467102E-2</v>
      </c>
    </row>
    <row r="199" spans="1:3">
      <c r="A199" s="3">
        <v>43032</v>
      </c>
      <c r="B199" s="9">
        <v>173.699997</v>
      </c>
      <c r="C199" s="8">
        <f t="shared" si="3"/>
        <v>3.2922773842696124E-3</v>
      </c>
    </row>
    <row r="200" spans="1:3">
      <c r="A200" s="3">
        <v>43033</v>
      </c>
      <c r="B200" s="9">
        <v>170.220001</v>
      </c>
      <c r="C200" s="8">
        <f t="shared" si="3"/>
        <v>-2.0034519632144841E-2</v>
      </c>
    </row>
    <row r="201" spans="1:3">
      <c r="A201" s="3">
        <v>43034</v>
      </c>
      <c r="B201" s="9">
        <v>170.320007</v>
      </c>
      <c r="C201" s="8">
        <f t="shared" si="3"/>
        <v>5.8751027736163384E-4</v>
      </c>
    </row>
    <row r="202" spans="1:3">
      <c r="A202" s="3">
        <v>43035</v>
      </c>
      <c r="B202" s="9">
        <v>176.14999399999999</v>
      </c>
      <c r="C202" s="8">
        <f t="shared" si="3"/>
        <v>3.4229607564541659E-2</v>
      </c>
    </row>
    <row r="203" spans="1:3">
      <c r="A203" s="3">
        <v>43038</v>
      </c>
      <c r="B203" s="9">
        <v>181.58000200000001</v>
      </c>
      <c r="C203" s="8">
        <f t="shared" si="3"/>
        <v>3.0826047033529931E-2</v>
      </c>
    </row>
    <row r="204" spans="1:3">
      <c r="A204" s="3">
        <v>43039</v>
      </c>
      <c r="B204" s="9">
        <v>184.88999899999999</v>
      </c>
      <c r="C204" s="8">
        <f t="shared" si="3"/>
        <v>1.8228863110156708E-2</v>
      </c>
    </row>
    <row r="205" spans="1:3">
      <c r="A205" s="3">
        <v>43040</v>
      </c>
      <c r="B205" s="9">
        <v>186.08000200000001</v>
      </c>
      <c r="C205" s="8">
        <f t="shared" si="3"/>
        <v>6.4362756581550886E-3</v>
      </c>
    </row>
    <row r="206" spans="1:3">
      <c r="A206" s="3">
        <v>43041</v>
      </c>
      <c r="B206" s="9">
        <v>184.80999800000001</v>
      </c>
      <c r="C206" s="8">
        <f t="shared" si="3"/>
        <v>-6.8250429189053857E-3</v>
      </c>
    </row>
    <row r="207" spans="1:3">
      <c r="A207" s="3">
        <v>43042</v>
      </c>
      <c r="B207" s="9">
        <v>183.21000699999999</v>
      </c>
      <c r="C207" s="8">
        <f t="shared" si="3"/>
        <v>-8.6574915714247077E-3</v>
      </c>
    </row>
    <row r="208" spans="1:3">
      <c r="A208" s="3">
        <v>43045</v>
      </c>
      <c r="B208" s="9">
        <v>187.83999600000001</v>
      </c>
      <c r="C208" s="8">
        <f t="shared" si="3"/>
        <v>2.5271485307022685E-2</v>
      </c>
    </row>
    <row r="209" spans="1:3">
      <c r="A209" s="3">
        <v>43046</v>
      </c>
      <c r="B209" s="9">
        <v>188.509995</v>
      </c>
      <c r="C209" s="8">
        <f t="shared" si="3"/>
        <v>3.5668601696519945E-3</v>
      </c>
    </row>
    <row r="210" spans="1:3">
      <c r="A210" s="3">
        <v>43047</v>
      </c>
      <c r="B210" s="9">
        <v>185.89999399999999</v>
      </c>
      <c r="C210" s="8">
        <f t="shared" si="3"/>
        <v>-1.3845425013140608E-2</v>
      </c>
    </row>
    <row r="211" spans="1:3">
      <c r="A211" s="3">
        <v>43048</v>
      </c>
      <c r="B211" s="9">
        <v>185.13000500000001</v>
      </c>
      <c r="C211" s="8">
        <f t="shared" si="3"/>
        <v>-4.1419527964050452E-3</v>
      </c>
    </row>
    <row r="212" spans="1:3">
      <c r="A212" s="3">
        <v>43049</v>
      </c>
      <c r="B212" s="9">
        <v>186.41000399999999</v>
      </c>
      <c r="C212" s="8">
        <f t="shared" si="3"/>
        <v>6.9140548016512786E-3</v>
      </c>
    </row>
    <row r="213" spans="1:3">
      <c r="A213" s="3">
        <v>43052</v>
      </c>
      <c r="B213" s="9">
        <v>184.53999300000001</v>
      </c>
      <c r="C213" s="8">
        <f t="shared" si="3"/>
        <v>-1.0031709456966574E-2</v>
      </c>
    </row>
    <row r="214" spans="1:3">
      <c r="A214" s="3">
        <v>43053</v>
      </c>
      <c r="B214" s="9">
        <v>181.78999300000001</v>
      </c>
      <c r="C214" s="8">
        <f t="shared" si="3"/>
        <v>-1.4901918848560918E-2</v>
      </c>
    </row>
    <row r="215" spans="1:3">
      <c r="A215" s="3">
        <v>43054</v>
      </c>
      <c r="B215" s="9">
        <v>181.479996</v>
      </c>
      <c r="C215" s="8">
        <f t="shared" si="3"/>
        <v>-1.7052478790733538E-3</v>
      </c>
    </row>
    <row r="216" spans="1:3">
      <c r="A216" s="3">
        <v>43055</v>
      </c>
      <c r="B216" s="9">
        <v>185.429993</v>
      </c>
      <c r="C216" s="8">
        <f t="shared" si="3"/>
        <v>2.1765467748853136E-2</v>
      </c>
    </row>
    <row r="217" spans="1:3">
      <c r="A217" s="3">
        <v>43056</v>
      </c>
      <c r="B217" s="9">
        <v>185.13000500000001</v>
      </c>
      <c r="C217" s="8">
        <f t="shared" si="3"/>
        <v>-1.6177965341345013E-3</v>
      </c>
    </row>
    <row r="218" spans="1:3">
      <c r="A218" s="3">
        <v>43059</v>
      </c>
      <c r="B218" s="9">
        <v>188</v>
      </c>
      <c r="C218" s="8">
        <f t="shared" si="3"/>
        <v>1.5502592353951423E-2</v>
      </c>
    </row>
    <row r="219" spans="1:3">
      <c r="A219" s="3">
        <v>43060</v>
      </c>
      <c r="B219" s="9">
        <v>190.89999399999999</v>
      </c>
      <c r="C219" s="8">
        <f t="shared" si="3"/>
        <v>1.542549999999996E-2</v>
      </c>
    </row>
    <row r="220" spans="1:3">
      <c r="A220" s="3">
        <v>43061</v>
      </c>
      <c r="B220" s="9">
        <v>189.83999600000001</v>
      </c>
      <c r="C220" s="8">
        <f t="shared" si="3"/>
        <v>-5.5526350618951776E-3</v>
      </c>
    </row>
    <row r="221" spans="1:3">
      <c r="A221" s="3">
        <v>43063</v>
      </c>
      <c r="B221" s="9">
        <v>191.19000199999999</v>
      </c>
      <c r="C221" s="8">
        <f t="shared" si="3"/>
        <v>7.1112833356780049E-3</v>
      </c>
    </row>
    <row r="222" spans="1:3">
      <c r="A222" s="3">
        <v>43066</v>
      </c>
      <c r="B222" s="9">
        <v>188.029999</v>
      </c>
      <c r="C222" s="8">
        <f t="shared" si="3"/>
        <v>-1.6528076609361557E-2</v>
      </c>
    </row>
    <row r="223" spans="1:3">
      <c r="A223" s="3">
        <v>43067</v>
      </c>
      <c r="B223" s="9">
        <v>186.69000199999999</v>
      </c>
      <c r="C223" s="8">
        <f t="shared" si="3"/>
        <v>-7.1265064464527865E-3</v>
      </c>
    </row>
    <row r="224" spans="1:3">
      <c r="A224" s="3">
        <v>43068</v>
      </c>
      <c r="B224" s="9">
        <v>179.91000399999999</v>
      </c>
      <c r="C224" s="8">
        <f t="shared" si="3"/>
        <v>-3.6316877858301198E-2</v>
      </c>
    </row>
    <row r="225" spans="1:3">
      <c r="A225" s="3">
        <v>43069</v>
      </c>
      <c r="B225" s="9">
        <v>177.08000200000001</v>
      </c>
      <c r="C225" s="8">
        <f t="shared" si="3"/>
        <v>-1.5730098032791878E-2</v>
      </c>
    </row>
    <row r="226" spans="1:3">
      <c r="A226" s="3">
        <v>43070</v>
      </c>
      <c r="B226" s="9">
        <v>174.61000100000001</v>
      </c>
      <c r="C226" s="8">
        <f t="shared" si="3"/>
        <v>-1.3948503343703351E-2</v>
      </c>
    </row>
    <row r="227" spans="1:3">
      <c r="A227" s="3">
        <v>43073</v>
      </c>
      <c r="B227" s="9">
        <v>169.58000200000001</v>
      </c>
      <c r="C227" s="8">
        <f t="shared" si="3"/>
        <v>-2.8807049832157112E-2</v>
      </c>
    </row>
    <row r="228" spans="1:3">
      <c r="A228" s="3">
        <v>43074</v>
      </c>
      <c r="B228" s="9">
        <v>168.96000699999999</v>
      </c>
      <c r="C228" s="8">
        <f t="shared" si="3"/>
        <v>-3.6560619924984853E-3</v>
      </c>
    </row>
    <row r="229" spans="1:3">
      <c r="A229" s="3">
        <v>43075</v>
      </c>
      <c r="B229" s="9">
        <v>172.63000500000001</v>
      </c>
      <c r="C229" s="8">
        <f t="shared" si="3"/>
        <v>2.1721104687217614E-2</v>
      </c>
    </row>
    <row r="230" spans="1:3">
      <c r="A230" s="3">
        <v>43076</v>
      </c>
      <c r="B230" s="9">
        <v>174.470001</v>
      </c>
      <c r="C230" s="8">
        <f t="shared" si="3"/>
        <v>1.0658610593216312E-2</v>
      </c>
    </row>
    <row r="231" spans="1:3">
      <c r="A231" s="3">
        <v>43077</v>
      </c>
      <c r="B231" s="9">
        <v>177.61999499999999</v>
      </c>
      <c r="C231" s="8">
        <f t="shared" si="3"/>
        <v>1.8054645394310467E-2</v>
      </c>
    </row>
    <row r="232" spans="1:3">
      <c r="A232" s="3">
        <v>43080</v>
      </c>
      <c r="B232" s="9">
        <v>179.28999300000001</v>
      </c>
      <c r="C232" s="8">
        <f t="shared" si="3"/>
        <v>9.4020833634187468E-3</v>
      </c>
    </row>
    <row r="233" spans="1:3">
      <c r="A233" s="3">
        <v>43081</v>
      </c>
      <c r="B233" s="9">
        <v>174.63999899999999</v>
      </c>
      <c r="C233" s="8">
        <f t="shared" si="3"/>
        <v>-2.593560255200646E-2</v>
      </c>
    </row>
    <row r="234" spans="1:3">
      <c r="A234" s="3">
        <v>43082</v>
      </c>
      <c r="B234" s="9">
        <v>176.470001</v>
      </c>
      <c r="C234" s="8">
        <f t="shared" si="3"/>
        <v>1.047871055015299E-2</v>
      </c>
    </row>
    <row r="235" spans="1:3">
      <c r="A235" s="3">
        <v>43083</v>
      </c>
      <c r="B235" s="9">
        <v>171.75</v>
      </c>
      <c r="C235" s="8">
        <f t="shared" si="3"/>
        <v>-2.6746761337639459E-2</v>
      </c>
    </row>
    <row r="236" spans="1:3">
      <c r="A236" s="3">
        <v>43084</v>
      </c>
      <c r="B236" s="9">
        <v>173.550003</v>
      </c>
      <c r="C236" s="8">
        <f t="shared" si="3"/>
        <v>1.0480366812227096E-2</v>
      </c>
    </row>
    <row r="237" spans="1:3">
      <c r="A237" s="3">
        <v>43087</v>
      </c>
      <c r="B237" s="9">
        <v>173.36999499999999</v>
      </c>
      <c r="C237" s="8">
        <f t="shared" si="3"/>
        <v>-1.0372111604055405E-3</v>
      </c>
    </row>
    <row r="238" spans="1:3">
      <c r="A238" s="3">
        <v>43088</v>
      </c>
      <c r="B238" s="9">
        <v>171.279999</v>
      </c>
      <c r="C238" s="8">
        <f t="shared" si="3"/>
        <v>-1.2055119457089361E-2</v>
      </c>
    </row>
    <row r="239" spans="1:3">
      <c r="A239" s="3">
        <v>43089</v>
      </c>
      <c r="B239" s="9">
        <v>172.63999899999999</v>
      </c>
      <c r="C239" s="8">
        <f t="shared" si="3"/>
        <v>7.9402148992305001E-3</v>
      </c>
    </row>
    <row r="240" spans="1:3">
      <c r="A240" s="3">
        <v>43090</v>
      </c>
      <c r="B240" s="9">
        <v>175.320007</v>
      </c>
      <c r="C240" s="8">
        <f t="shared" si="3"/>
        <v>1.5523679422634933E-2</v>
      </c>
    </row>
    <row r="241" spans="1:3">
      <c r="A241" s="3">
        <v>43091</v>
      </c>
      <c r="B241" s="9">
        <v>176.28999300000001</v>
      </c>
      <c r="C241" s="8">
        <f t="shared" si="3"/>
        <v>5.5326600574457296E-3</v>
      </c>
    </row>
    <row r="242" spans="1:3">
      <c r="A242" s="3">
        <v>43095</v>
      </c>
      <c r="B242" s="9">
        <v>172.33000200000001</v>
      </c>
      <c r="C242" s="8">
        <f t="shared" si="3"/>
        <v>-2.2462936963188841E-2</v>
      </c>
    </row>
    <row r="243" spans="1:3">
      <c r="A243" s="3">
        <v>43096</v>
      </c>
      <c r="B243" s="9">
        <v>172.970001</v>
      </c>
      <c r="C243" s="8">
        <f t="shared" si="3"/>
        <v>3.713799063264613E-3</v>
      </c>
    </row>
    <row r="244" spans="1:3">
      <c r="A244" s="3">
        <v>43097</v>
      </c>
      <c r="B244" s="9">
        <v>172.300003</v>
      </c>
      <c r="C244" s="8">
        <f t="shared" si="3"/>
        <v>-3.8734924907585133E-3</v>
      </c>
    </row>
    <row r="245" spans="1:3">
      <c r="A245" s="3">
        <v>43098</v>
      </c>
      <c r="B245" s="9">
        <v>172.429993</v>
      </c>
      <c r="C245" s="8">
        <f t="shared" si="3"/>
        <v>7.5443991721806461E-4</v>
      </c>
    </row>
    <row r="246" spans="1:3">
      <c r="A246" s="3">
        <v>43102</v>
      </c>
      <c r="B246" s="9">
        <v>183.64999399999999</v>
      </c>
      <c r="C246" s="8">
        <f t="shared" si="3"/>
        <v>6.5069891872001628E-2</v>
      </c>
    </row>
    <row r="247" spans="1:3">
      <c r="A247" s="3">
        <v>43103</v>
      </c>
      <c r="B247" s="9">
        <v>184</v>
      </c>
      <c r="C247" s="8">
        <f t="shared" si="3"/>
        <v>1.9058318074326079E-3</v>
      </c>
    </row>
    <row r="248" spans="1:3">
      <c r="A248" s="3">
        <v>43104</v>
      </c>
      <c r="B248" s="9">
        <v>185.71000699999999</v>
      </c>
      <c r="C248" s="8">
        <f t="shared" si="3"/>
        <v>9.2935163043477726E-3</v>
      </c>
    </row>
    <row r="249" spans="1:3">
      <c r="A249" s="3">
        <v>43105</v>
      </c>
      <c r="B249" s="9">
        <v>190.699997</v>
      </c>
      <c r="C249" s="8">
        <f t="shared" si="3"/>
        <v>2.686979598250732E-2</v>
      </c>
    </row>
    <row r="250" spans="1:3">
      <c r="A250" s="3">
        <v>43108</v>
      </c>
      <c r="B250" s="9">
        <v>190.33000200000001</v>
      </c>
      <c r="C250" s="8">
        <f t="shared" si="3"/>
        <v>-1.9401940525462554E-3</v>
      </c>
    </row>
    <row r="251" spans="1:3">
      <c r="A251" s="3">
        <v>43109</v>
      </c>
      <c r="B251" s="9">
        <v>190.800003</v>
      </c>
      <c r="C251" s="8">
        <f t="shared" si="3"/>
        <v>2.4694004889465422E-3</v>
      </c>
    </row>
    <row r="252" spans="1:3">
      <c r="A252" s="3">
        <v>43110</v>
      </c>
      <c r="B252" s="9">
        <v>189.78999300000001</v>
      </c>
      <c r="C252" s="8">
        <f t="shared" si="3"/>
        <v>-5.2935533758874942E-3</v>
      </c>
    </row>
    <row r="253" spans="1:3">
      <c r="A253" s="3">
        <v>43111</v>
      </c>
      <c r="B253" s="9">
        <v>188.75</v>
      </c>
      <c r="C253" s="8">
        <f t="shared" si="3"/>
        <v>-5.479704085346637E-3</v>
      </c>
    </row>
    <row r="254" spans="1:3">
      <c r="A254" s="3">
        <v>43112</v>
      </c>
      <c r="B254" s="9">
        <v>187.78999300000001</v>
      </c>
      <c r="C254" s="8">
        <f t="shared" si="3"/>
        <v>-5.0861298013244521E-3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Description</vt:lpstr>
      <vt:lpstr>Sheet2</vt:lpstr>
      <vt:lpstr>S&amp;P500 futures</vt:lpstr>
      <vt:lpstr>Portfolio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Amaya</dc:creator>
  <cp:lastModifiedBy>Bingze Qiu</cp:lastModifiedBy>
  <dcterms:created xsi:type="dcterms:W3CDTF">2020-06-01T19:46:10Z</dcterms:created>
  <dcterms:modified xsi:type="dcterms:W3CDTF">2026-01-21T20:29:45Z</dcterms:modified>
</cp:coreProperties>
</file>